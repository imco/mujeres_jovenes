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nd User\Desktop\"/>
    </mc:Choice>
  </mc:AlternateContent>
  <xr:revisionPtr revIDLastSave="0" documentId="8_{24893F3B-B70C-48D4-A986-BCF351CCA051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Monitor_2025" sheetId="6" r:id="rId1"/>
    <sheet name="Indice2026" sheetId="7" r:id="rId2"/>
    <sheet name="Monitor_2026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1" i="8" l="1"/>
  <c r="C501" i="8"/>
  <c r="D501" i="8"/>
  <c r="E501" i="8"/>
  <c r="B502" i="8"/>
  <c r="C502" i="8"/>
  <c r="D502" i="8"/>
  <c r="E502" i="8"/>
  <c r="B503" i="8"/>
  <c r="C503" i="8"/>
  <c r="D503" i="8"/>
  <c r="E503" i="8"/>
  <c r="B504" i="8"/>
  <c r="C504" i="8"/>
  <c r="D504" i="8"/>
  <c r="E504" i="8"/>
  <c r="B505" i="8"/>
  <c r="C505" i="8"/>
  <c r="D505" i="8"/>
  <c r="E505" i="8"/>
  <c r="B506" i="8"/>
  <c r="C506" i="8"/>
  <c r="D506" i="8"/>
  <c r="E506" i="8"/>
  <c r="B507" i="8"/>
  <c r="C507" i="8"/>
  <c r="D507" i="8"/>
  <c r="E507" i="8"/>
  <c r="B508" i="8"/>
  <c r="C508" i="8"/>
  <c r="D508" i="8"/>
  <c r="E508" i="8"/>
  <c r="B509" i="8"/>
  <c r="C509" i="8"/>
  <c r="D509" i="8"/>
  <c r="E509" i="8"/>
  <c r="B510" i="8"/>
  <c r="C510" i="8"/>
  <c r="D510" i="8"/>
  <c r="E510" i="8"/>
  <c r="B511" i="8"/>
  <c r="C511" i="8"/>
  <c r="D511" i="8"/>
  <c r="E511" i="8"/>
  <c r="B512" i="8"/>
  <c r="C512" i="8"/>
  <c r="D512" i="8"/>
  <c r="E512" i="8"/>
  <c r="B513" i="8"/>
  <c r="C513" i="8"/>
  <c r="D513" i="8"/>
  <c r="E513" i="8"/>
  <c r="B514" i="8"/>
  <c r="C514" i="8"/>
  <c r="D514" i="8"/>
  <c r="E514" i="8"/>
  <c r="B515" i="8"/>
  <c r="C515" i="8"/>
  <c r="D515" i="8"/>
  <c r="E515" i="8"/>
  <c r="B516" i="8"/>
  <c r="C516" i="8"/>
  <c r="D516" i="8"/>
  <c r="E516" i="8"/>
  <c r="B517" i="8"/>
  <c r="C517" i="8"/>
  <c r="D517" i="8"/>
  <c r="E517" i="8"/>
  <c r="B518" i="8"/>
  <c r="C518" i="8"/>
  <c r="D518" i="8"/>
  <c r="E518" i="8"/>
  <c r="B519" i="8"/>
  <c r="C519" i="8"/>
  <c r="D519" i="8"/>
  <c r="E519" i="8"/>
  <c r="B520" i="8"/>
  <c r="C520" i="8"/>
  <c r="D520" i="8"/>
  <c r="E520" i="8"/>
  <c r="B521" i="8"/>
  <c r="C521" i="8"/>
  <c r="D521" i="8"/>
  <c r="E521" i="8"/>
  <c r="B522" i="8"/>
  <c r="C522" i="8"/>
  <c r="D522" i="8"/>
  <c r="E522" i="8"/>
  <c r="B523" i="8"/>
  <c r="C523" i="8"/>
  <c r="D523" i="8"/>
  <c r="E523" i="8"/>
  <c r="B524" i="8"/>
  <c r="C524" i="8"/>
  <c r="D524" i="8"/>
  <c r="E524" i="8"/>
  <c r="B525" i="8"/>
  <c r="C525" i="8"/>
  <c r="D525" i="8"/>
  <c r="E525" i="8"/>
  <c r="B526" i="8"/>
  <c r="C526" i="8"/>
  <c r="D526" i="8"/>
  <c r="E526" i="8"/>
  <c r="B527" i="8"/>
  <c r="C527" i="8"/>
  <c r="D527" i="8"/>
  <c r="E527" i="8"/>
  <c r="B528" i="8"/>
  <c r="C528" i="8"/>
  <c r="D528" i="8"/>
  <c r="E528" i="8"/>
  <c r="B529" i="8"/>
  <c r="C529" i="8"/>
  <c r="D529" i="8"/>
  <c r="E529" i="8"/>
  <c r="B530" i="8"/>
  <c r="C530" i="8"/>
  <c r="D530" i="8"/>
  <c r="E530" i="8"/>
  <c r="B531" i="8"/>
  <c r="C531" i="8"/>
  <c r="D531" i="8"/>
  <c r="E531" i="8"/>
  <c r="B532" i="8"/>
  <c r="C532" i="8"/>
  <c r="D532" i="8"/>
  <c r="E532" i="8"/>
  <c r="B533" i="8"/>
  <c r="C533" i="8"/>
  <c r="D533" i="8"/>
  <c r="E533" i="8"/>
  <c r="B534" i="8"/>
  <c r="C534" i="8"/>
  <c r="D534" i="8"/>
  <c r="E534" i="8"/>
  <c r="B535" i="8"/>
  <c r="C535" i="8"/>
  <c r="D535" i="8"/>
  <c r="E535" i="8"/>
  <c r="B536" i="8"/>
  <c r="C536" i="8"/>
  <c r="D536" i="8"/>
  <c r="E536" i="8"/>
  <c r="B537" i="8"/>
  <c r="C537" i="8"/>
  <c r="D537" i="8"/>
  <c r="E537" i="8"/>
  <c r="B538" i="8"/>
  <c r="C538" i="8"/>
  <c r="D538" i="8"/>
  <c r="E538" i="8"/>
  <c r="B539" i="8"/>
  <c r="C539" i="8"/>
  <c r="D539" i="8"/>
  <c r="E539" i="8"/>
  <c r="B540" i="8"/>
  <c r="C540" i="8"/>
  <c r="D540" i="8"/>
  <c r="E540" i="8"/>
  <c r="B541" i="8"/>
  <c r="C541" i="8"/>
  <c r="D541" i="8"/>
  <c r="E541" i="8"/>
  <c r="B542" i="8"/>
  <c r="C542" i="8"/>
  <c r="D542" i="8"/>
  <c r="E542" i="8"/>
  <c r="B543" i="8"/>
  <c r="C543" i="8"/>
  <c r="D543" i="8"/>
  <c r="E543" i="8"/>
  <c r="B544" i="8"/>
  <c r="C544" i="8"/>
  <c r="D544" i="8"/>
  <c r="E544" i="8"/>
  <c r="B545" i="8"/>
  <c r="C545" i="8"/>
  <c r="D545" i="8"/>
  <c r="E545" i="8"/>
  <c r="B251" i="8"/>
  <c r="C251" i="8"/>
  <c r="D251" i="8"/>
  <c r="E251" i="8"/>
  <c r="B252" i="8"/>
  <c r="C252" i="8"/>
  <c r="D252" i="8"/>
  <c r="E252" i="8"/>
  <c r="B253" i="8"/>
  <c r="C253" i="8"/>
  <c r="D253" i="8"/>
  <c r="E253" i="8"/>
  <c r="B254" i="8"/>
  <c r="C254" i="8"/>
  <c r="D254" i="8"/>
  <c r="E254" i="8"/>
  <c r="B255" i="8"/>
  <c r="C255" i="8"/>
  <c r="D255" i="8"/>
  <c r="E255" i="8"/>
  <c r="B256" i="8"/>
  <c r="C256" i="8"/>
  <c r="D256" i="8"/>
  <c r="E256" i="8"/>
  <c r="B257" i="8"/>
  <c r="C257" i="8"/>
  <c r="D257" i="8"/>
  <c r="E257" i="8"/>
  <c r="B258" i="8"/>
  <c r="C258" i="8"/>
  <c r="D258" i="8"/>
  <c r="E258" i="8"/>
  <c r="B259" i="8"/>
  <c r="C259" i="8"/>
  <c r="D259" i="8"/>
  <c r="E259" i="8"/>
  <c r="B260" i="8"/>
  <c r="C260" i="8"/>
  <c r="D260" i="8"/>
  <c r="E260" i="8"/>
  <c r="B261" i="8"/>
  <c r="C261" i="8"/>
  <c r="D261" i="8"/>
  <c r="E261" i="8"/>
  <c r="B262" i="8"/>
  <c r="C262" i="8"/>
  <c r="D262" i="8"/>
  <c r="E262" i="8"/>
  <c r="B263" i="8"/>
  <c r="C263" i="8"/>
  <c r="D263" i="8"/>
  <c r="E263" i="8"/>
  <c r="B264" i="8"/>
  <c r="C264" i="8"/>
  <c r="D264" i="8"/>
  <c r="E264" i="8"/>
  <c r="B265" i="8"/>
  <c r="C265" i="8"/>
  <c r="D265" i="8"/>
  <c r="E265" i="8"/>
  <c r="B266" i="8"/>
  <c r="C266" i="8"/>
  <c r="D266" i="8"/>
  <c r="E266" i="8"/>
  <c r="B267" i="8"/>
  <c r="C267" i="8"/>
  <c r="D267" i="8"/>
  <c r="E267" i="8"/>
  <c r="B268" i="8"/>
  <c r="C268" i="8"/>
  <c r="D268" i="8"/>
  <c r="E268" i="8"/>
  <c r="B269" i="8"/>
  <c r="C269" i="8"/>
  <c r="D269" i="8"/>
  <c r="E269" i="8"/>
  <c r="B270" i="8"/>
  <c r="C270" i="8"/>
  <c r="D270" i="8"/>
  <c r="E270" i="8"/>
  <c r="B271" i="8"/>
  <c r="C271" i="8"/>
  <c r="D271" i="8"/>
  <c r="E271" i="8"/>
  <c r="B272" i="8"/>
  <c r="C272" i="8"/>
  <c r="D272" i="8"/>
  <c r="E272" i="8"/>
  <c r="B273" i="8"/>
  <c r="C273" i="8"/>
  <c r="D273" i="8"/>
  <c r="E273" i="8"/>
  <c r="B274" i="8"/>
  <c r="C274" i="8"/>
  <c r="D274" i="8"/>
  <c r="E274" i="8"/>
  <c r="B275" i="8"/>
  <c r="C275" i="8"/>
  <c r="D275" i="8"/>
  <c r="E275" i="8"/>
  <c r="B276" i="8"/>
  <c r="C276" i="8"/>
  <c r="D276" i="8"/>
  <c r="E276" i="8"/>
  <c r="B277" i="8"/>
  <c r="C277" i="8"/>
  <c r="D277" i="8"/>
  <c r="E277" i="8"/>
  <c r="B278" i="8"/>
  <c r="C278" i="8"/>
  <c r="D278" i="8"/>
  <c r="E278" i="8"/>
  <c r="B279" i="8"/>
  <c r="C279" i="8"/>
  <c r="D279" i="8"/>
  <c r="E279" i="8"/>
  <c r="B280" i="8"/>
  <c r="C280" i="8"/>
  <c r="D280" i="8"/>
  <c r="E280" i="8"/>
  <c r="B281" i="8"/>
  <c r="C281" i="8"/>
  <c r="D281" i="8"/>
  <c r="E281" i="8"/>
  <c r="B282" i="8"/>
  <c r="C282" i="8"/>
  <c r="D282" i="8"/>
  <c r="E282" i="8"/>
  <c r="B283" i="8"/>
  <c r="C283" i="8"/>
  <c r="D283" i="8"/>
  <c r="E283" i="8"/>
  <c r="B284" i="8"/>
  <c r="C284" i="8"/>
  <c r="D284" i="8"/>
  <c r="E284" i="8"/>
  <c r="B285" i="8"/>
  <c r="C285" i="8"/>
  <c r="D285" i="8"/>
  <c r="E285" i="8"/>
  <c r="B286" i="8"/>
  <c r="C286" i="8"/>
  <c r="D286" i="8"/>
  <c r="E286" i="8"/>
  <c r="B287" i="8"/>
  <c r="C287" i="8"/>
  <c r="D287" i="8"/>
  <c r="E287" i="8"/>
  <c r="B288" i="8"/>
  <c r="C288" i="8"/>
  <c r="D288" i="8"/>
  <c r="E288" i="8"/>
  <c r="B289" i="8"/>
  <c r="C289" i="8"/>
  <c r="D289" i="8"/>
  <c r="E289" i="8"/>
  <c r="B290" i="8"/>
  <c r="C290" i="8"/>
  <c r="D290" i="8"/>
  <c r="E290" i="8"/>
  <c r="B291" i="8"/>
  <c r="C291" i="8"/>
  <c r="D291" i="8"/>
  <c r="E291" i="8"/>
  <c r="B292" i="8"/>
  <c r="C292" i="8"/>
  <c r="D292" i="8"/>
  <c r="E292" i="8"/>
  <c r="B293" i="8"/>
  <c r="C293" i="8"/>
  <c r="D293" i="8"/>
  <c r="E293" i="8"/>
  <c r="B294" i="8"/>
  <c r="C294" i="8"/>
  <c r="D294" i="8"/>
  <c r="E294" i="8"/>
  <c r="B295" i="8"/>
  <c r="C295" i="8"/>
  <c r="D295" i="8"/>
  <c r="E295" i="8"/>
  <c r="B296" i="8"/>
  <c r="C296" i="8"/>
  <c r="D296" i="8"/>
  <c r="E296" i="8"/>
  <c r="B297" i="8"/>
  <c r="C297" i="8"/>
  <c r="D297" i="8"/>
  <c r="E297" i="8"/>
  <c r="B298" i="8"/>
  <c r="C298" i="8"/>
  <c r="D298" i="8"/>
  <c r="E298" i="8"/>
  <c r="B299" i="8"/>
  <c r="C299" i="8"/>
  <c r="D299" i="8"/>
  <c r="E299" i="8"/>
  <c r="B300" i="8"/>
  <c r="C300" i="8"/>
  <c r="D300" i="8"/>
  <c r="E300" i="8"/>
  <c r="B301" i="8"/>
  <c r="C301" i="8"/>
  <c r="D301" i="8"/>
  <c r="E301" i="8"/>
  <c r="B302" i="8"/>
  <c r="C302" i="8"/>
  <c r="D302" i="8"/>
  <c r="E302" i="8"/>
  <c r="B303" i="8"/>
  <c r="C303" i="8"/>
  <c r="D303" i="8"/>
  <c r="E303" i="8"/>
  <c r="B304" i="8"/>
  <c r="C304" i="8"/>
  <c r="D304" i="8"/>
  <c r="E304" i="8"/>
  <c r="B305" i="8"/>
  <c r="C305" i="8"/>
  <c r="D305" i="8"/>
  <c r="E305" i="8"/>
  <c r="B306" i="8"/>
  <c r="C306" i="8"/>
  <c r="D306" i="8"/>
  <c r="E306" i="8"/>
  <c r="B307" i="8"/>
  <c r="C307" i="8"/>
  <c r="D307" i="8"/>
  <c r="E307" i="8"/>
  <c r="B308" i="8"/>
  <c r="C308" i="8"/>
  <c r="D308" i="8"/>
  <c r="E308" i="8"/>
  <c r="B309" i="8"/>
  <c r="C309" i="8"/>
  <c r="D309" i="8"/>
  <c r="E309" i="8"/>
  <c r="B310" i="8"/>
  <c r="C310" i="8"/>
  <c r="D310" i="8"/>
  <c r="E310" i="8"/>
  <c r="B311" i="8"/>
  <c r="C311" i="8"/>
  <c r="D311" i="8"/>
  <c r="E311" i="8"/>
  <c r="B312" i="8"/>
  <c r="C312" i="8"/>
  <c r="D312" i="8"/>
  <c r="E312" i="8"/>
  <c r="B313" i="8"/>
  <c r="C313" i="8"/>
  <c r="D313" i="8"/>
  <c r="E313" i="8"/>
  <c r="B314" i="8"/>
  <c r="C314" i="8"/>
  <c r="D314" i="8"/>
  <c r="E314" i="8"/>
  <c r="B315" i="8"/>
  <c r="C315" i="8"/>
  <c r="D315" i="8"/>
  <c r="E315" i="8"/>
  <c r="B316" i="8"/>
  <c r="C316" i="8"/>
  <c r="D316" i="8"/>
  <c r="E316" i="8"/>
  <c r="B317" i="8"/>
  <c r="C317" i="8"/>
  <c r="D317" i="8"/>
  <c r="E317" i="8"/>
  <c r="B318" i="8"/>
  <c r="C318" i="8"/>
  <c r="D318" i="8"/>
  <c r="E318" i="8"/>
  <c r="B319" i="8"/>
  <c r="C319" i="8"/>
  <c r="D319" i="8"/>
  <c r="E319" i="8"/>
  <c r="B320" i="8"/>
  <c r="C320" i="8"/>
  <c r="D320" i="8"/>
  <c r="E320" i="8"/>
  <c r="B321" i="8"/>
  <c r="C321" i="8"/>
  <c r="D321" i="8"/>
  <c r="E321" i="8"/>
  <c r="B322" i="8"/>
  <c r="C322" i="8"/>
  <c r="D322" i="8"/>
  <c r="E322" i="8"/>
  <c r="B323" i="8"/>
  <c r="C323" i="8"/>
  <c r="D323" i="8"/>
  <c r="E323" i="8"/>
  <c r="B324" i="8"/>
  <c r="C324" i="8"/>
  <c r="D324" i="8"/>
  <c r="E324" i="8"/>
  <c r="B325" i="8"/>
  <c r="C325" i="8"/>
  <c r="D325" i="8"/>
  <c r="E325" i="8"/>
  <c r="B326" i="8"/>
  <c r="C326" i="8"/>
  <c r="D326" i="8"/>
  <c r="E326" i="8"/>
  <c r="B327" i="8"/>
  <c r="C327" i="8"/>
  <c r="D327" i="8"/>
  <c r="E327" i="8"/>
  <c r="B328" i="8"/>
  <c r="C328" i="8"/>
  <c r="D328" i="8"/>
  <c r="E328" i="8"/>
  <c r="B329" i="8"/>
  <c r="C329" i="8"/>
  <c r="D329" i="8"/>
  <c r="E329" i="8"/>
  <c r="B330" i="8"/>
  <c r="C330" i="8"/>
  <c r="D330" i="8"/>
  <c r="E330" i="8"/>
  <c r="B331" i="8"/>
  <c r="C331" i="8"/>
  <c r="D331" i="8"/>
  <c r="E331" i="8"/>
  <c r="B332" i="8"/>
  <c r="C332" i="8"/>
  <c r="D332" i="8"/>
  <c r="E332" i="8"/>
  <c r="B333" i="8"/>
  <c r="C333" i="8"/>
  <c r="D333" i="8"/>
  <c r="E333" i="8"/>
  <c r="B334" i="8"/>
  <c r="C334" i="8"/>
  <c r="D334" i="8"/>
  <c r="E334" i="8"/>
  <c r="B335" i="8"/>
  <c r="C335" i="8"/>
  <c r="D335" i="8"/>
  <c r="E335" i="8"/>
  <c r="B336" i="8"/>
  <c r="C336" i="8"/>
  <c r="D336" i="8"/>
  <c r="E336" i="8"/>
  <c r="B337" i="8"/>
  <c r="C337" i="8"/>
  <c r="D337" i="8"/>
  <c r="E337" i="8"/>
  <c r="B338" i="8"/>
  <c r="C338" i="8"/>
  <c r="D338" i="8"/>
  <c r="E338" i="8"/>
  <c r="B339" i="8"/>
  <c r="C339" i="8"/>
  <c r="D339" i="8"/>
  <c r="E339" i="8"/>
  <c r="B340" i="8"/>
  <c r="C340" i="8"/>
  <c r="D340" i="8"/>
  <c r="E340" i="8"/>
  <c r="B341" i="8"/>
  <c r="C341" i="8"/>
  <c r="D341" i="8"/>
  <c r="E341" i="8"/>
  <c r="B342" i="8"/>
  <c r="C342" i="8"/>
  <c r="D342" i="8"/>
  <c r="E342" i="8"/>
  <c r="B343" i="8"/>
  <c r="C343" i="8"/>
  <c r="D343" i="8"/>
  <c r="E343" i="8"/>
  <c r="B344" i="8"/>
  <c r="C344" i="8"/>
  <c r="D344" i="8"/>
  <c r="E344" i="8"/>
  <c r="B345" i="8"/>
  <c r="C345" i="8"/>
  <c r="D345" i="8"/>
  <c r="E345" i="8"/>
  <c r="B346" i="8"/>
  <c r="C346" i="8"/>
  <c r="D346" i="8"/>
  <c r="E346" i="8"/>
  <c r="B347" i="8"/>
  <c r="C347" i="8"/>
  <c r="D347" i="8"/>
  <c r="E347" i="8"/>
  <c r="B348" i="8"/>
  <c r="C348" i="8"/>
  <c r="D348" i="8"/>
  <c r="E348" i="8"/>
  <c r="B349" i="8"/>
  <c r="C349" i="8"/>
  <c r="D349" i="8"/>
  <c r="E349" i="8"/>
  <c r="B350" i="8"/>
  <c r="C350" i="8"/>
  <c r="D350" i="8"/>
  <c r="E350" i="8"/>
  <c r="B351" i="8"/>
  <c r="C351" i="8"/>
  <c r="D351" i="8"/>
  <c r="E351" i="8"/>
  <c r="B352" i="8"/>
  <c r="C352" i="8"/>
  <c r="D352" i="8"/>
  <c r="E352" i="8"/>
  <c r="B353" i="8"/>
  <c r="C353" i="8"/>
  <c r="D353" i="8"/>
  <c r="E353" i="8"/>
  <c r="B354" i="8"/>
  <c r="C354" i="8"/>
  <c r="D354" i="8"/>
  <c r="E354" i="8"/>
  <c r="B355" i="8"/>
  <c r="C355" i="8"/>
  <c r="D355" i="8"/>
  <c r="E355" i="8"/>
  <c r="B356" i="8"/>
  <c r="C356" i="8"/>
  <c r="D356" i="8"/>
  <c r="E356" i="8"/>
  <c r="B357" i="8"/>
  <c r="C357" i="8"/>
  <c r="D357" i="8"/>
  <c r="E357" i="8"/>
  <c r="B358" i="8"/>
  <c r="C358" i="8"/>
  <c r="D358" i="8"/>
  <c r="E358" i="8"/>
  <c r="B359" i="8"/>
  <c r="C359" i="8"/>
  <c r="D359" i="8"/>
  <c r="E359" i="8"/>
  <c r="B360" i="8"/>
  <c r="C360" i="8"/>
  <c r="D360" i="8"/>
  <c r="E360" i="8"/>
  <c r="B361" i="8"/>
  <c r="C361" i="8"/>
  <c r="D361" i="8"/>
  <c r="E361" i="8"/>
  <c r="B362" i="8"/>
  <c r="C362" i="8"/>
  <c r="D362" i="8"/>
  <c r="E362" i="8"/>
  <c r="B363" i="8"/>
  <c r="C363" i="8"/>
  <c r="D363" i="8"/>
  <c r="E363" i="8"/>
  <c r="B364" i="8"/>
  <c r="C364" i="8"/>
  <c r="D364" i="8"/>
  <c r="E364" i="8"/>
  <c r="B365" i="8"/>
  <c r="C365" i="8"/>
  <c r="D365" i="8"/>
  <c r="E365" i="8"/>
  <c r="B366" i="8"/>
  <c r="C366" i="8"/>
  <c r="D366" i="8"/>
  <c r="E366" i="8"/>
  <c r="B367" i="8"/>
  <c r="C367" i="8"/>
  <c r="D367" i="8"/>
  <c r="E367" i="8"/>
  <c r="B368" i="8"/>
  <c r="C368" i="8"/>
  <c r="D368" i="8"/>
  <c r="E368" i="8"/>
  <c r="B369" i="8"/>
  <c r="C369" i="8"/>
  <c r="D369" i="8"/>
  <c r="E369" i="8"/>
  <c r="B370" i="8"/>
  <c r="C370" i="8"/>
  <c r="D370" i="8"/>
  <c r="E370" i="8"/>
  <c r="B371" i="8"/>
  <c r="C371" i="8"/>
  <c r="D371" i="8"/>
  <c r="E371" i="8"/>
  <c r="B372" i="8"/>
  <c r="C372" i="8"/>
  <c r="D372" i="8"/>
  <c r="E372" i="8"/>
  <c r="B373" i="8"/>
  <c r="C373" i="8"/>
  <c r="D373" i="8"/>
  <c r="E373" i="8"/>
  <c r="B374" i="8"/>
  <c r="C374" i="8"/>
  <c r="D374" i="8"/>
  <c r="E374" i="8"/>
  <c r="B375" i="8"/>
  <c r="C375" i="8"/>
  <c r="D375" i="8"/>
  <c r="E375" i="8"/>
  <c r="B376" i="8"/>
  <c r="C376" i="8"/>
  <c r="D376" i="8"/>
  <c r="E376" i="8"/>
  <c r="B377" i="8"/>
  <c r="C377" i="8"/>
  <c r="D377" i="8"/>
  <c r="E377" i="8"/>
  <c r="B378" i="8"/>
  <c r="C378" i="8"/>
  <c r="D378" i="8"/>
  <c r="E378" i="8"/>
  <c r="B379" i="8"/>
  <c r="C379" i="8"/>
  <c r="D379" i="8"/>
  <c r="E379" i="8"/>
  <c r="B380" i="8"/>
  <c r="C380" i="8"/>
  <c r="D380" i="8"/>
  <c r="E380" i="8"/>
  <c r="B381" i="8"/>
  <c r="C381" i="8"/>
  <c r="D381" i="8"/>
  <c r="E381" i="8"/>
  <c r="B382" i="8"/>
  <c r="C382" i="8"/>
  <c r="D382" i="8"/>
  <c r="E382" i="8"/>
  <c r="B383" i="8"/>
  <c r="C383" i="8"/>
  <c r="D383" i="8"/>
  <c r="E383" i="8"/>
  <c r="B384" i="8"/>
  <c r="C384" i="8"/>
  <c r="D384" i="8"/>
  <c r="E384" i="8"/>
  <c r="B385" i="8"/>
  <c r="C385" i="8"/>
  <c r="D385" i="8"/>
  <c r="E385" i="8"/>
  <c r="B386" i="8"/>
  <c r="C386" i="8"/>
  <c r="D386" i="8"/>
  <c r="E386" i="8"/>
  <c r="B387" i="8"/>
  <c r="C387" i="8"/>
  <c r="D387" i="8"/>
  <c r="E387" i="8"/>
  <c r="B388" i="8"/>
  <c r="C388" i="8"/>
  <c r="D388" i="8"/>
  <c r="E388" i="8"/>
  <c r="B389" i="8"/>
  <c r="C389" i="8"/>
  <c r="D389" i="8"/>
  <c r="E389" i="8"/>
  <c r="B390" i="8"/>
  <c r="C390" i="8"/>
  <c r="D390" i="8"/>
  <c r="E390" i="8"/>
  <c r="B391" i="8"/>
  <c r="C391" i="8"/>
  <c r="D391" i="8"/>
  <c r="E391" i="8"/>
  <c r="B392" i="8"/>
  <c r="C392" i="8"/>
  <c r="D392" i="8"/>
  <c r="E392" i="8"/>
  <c r="B393" i="8"/>
  <c r="C393" i="8"/>
  <c r="D393" i="8"/>
  <c r="E393" i="8"/>
  <c r="B394" i="8"/>
  <c r="C394" i="8"/>
  <c r="D394" i="8"/>
  <c r="E394" i="8"/>
  <c r="B395" i="8"/>
  <c r="C395" i="8"/>
  <c r="D395" i="8"/>
  <c r="E395" i="8"/>
  <c r="B396" i="8"/>
  <c r="C396" i="8"/>
  <c r="D396" i="8"/>
  <c r="E396" i="8"/>
  <c r="B397" i="8"/>
  <c r="C397" i="8"/>
  <c r="D397" i="8"/>
  <c r="E397" i="8"/>
  <c r="B398" i="8"/>
  <c r="C398" i="8"/>
  <c r="D398" i="8"/>
  <c r="E398" i="8"/>
  <c r="B399" i="8"/>
  <c r="C399" i="8"/>
  <c r="D399" i="8"/>
  <c r="E399" i="8"/>
  <c r="B400" i="8"/>
  <c r="C400" i="8"/>
  <c r="D400" i="8"/>
  <c r="E400" i="8"/>
  <c r="B401" i="8"/>
  <c r="C401" i="8"/>
  <c r="D401" i="8"/>
  <c r="E401" i="8"/>
  <c r="B402" i="8"/>
  <c r="C402" i="8"/>
  <c r="D402" i="8"/>
  <c r="E402" i="8"/>
  <c r="B403" i="8"/>
  <c r="C403" i="8"/>
  <c r="D403" i="8"/>
  <c r="E403" i="8"/>
  <c r="B404" i="8"/>
  <c r="C404" i="8"/>
  <c r="D404" i="8"/>
  <c r="E404" i="8"/>
  <c r="B405" i="8"/>
  <c r="C405" i="8"/>
  <c r="D405" i="8"/>
  <c r="E405" i="8"/>
  <c r="B406" i="8"/>
  <c r="C406" i="8"/>
  <c r="D406" i="8"/>
  <c r="E406" i="8"/>
  <c r="B407" i="8"/>
  <c r="C407" i="8"/>
  <c r="D407" i="8"/>
  <c r="E407" i="8"/>
  <c r="B408" i="8"/>
  <c r="C408" i="8"/>
  <c r="D408" i="8"/>
  <c r="E408" i="8"/>
  <c r="B409" i="8"/>
  <c r="C409" i="8"/>
  <c r="D409" i="8"/>
  <c r="E409" i="8"/>
  <c r="B410" i="8"/>
  <c r="C410" i="8"/>
  <c r="D410" i="8"/>
  <c r="E410" i="8"/>
  <c r="B411" i="8"/>
  <c r="C411" i="8"/>
  <c r="D411" i="8"/>
  <c r="E411" i="8"/>
  <c r="B412" i="8"/>
  <c r="C412" i="8"/>
  <c r="D412" i="8"/>
  <c r="E412" i="8"/>
  <c r="B413" i="8"/>
  <c r="C413" i="8"/>
  <c r="D413" i="8"/>
  <c r="E413" i="8"/>
  <c r="B414" i="8"/>
  <c r="C414" i="8"/>
  <c r="D414" i="8"/>
  <c r="E414" i="8"/>
  <c r="B415" i="8"/>
  <c r="C415" i="8"/>
  <c r="D415" i="8"/>
  <c r="E415" i="8"/>
  <c r="B416" i="8"/>
  <c r="C416" i="8"/>
  <c r="D416" i="8"/>
  <c r="E416" i="8"/>
  <c r="B417" i="8"/>
  <c r="C417" i="8"/>
  <c r="D417" i="8"/>
  <c r="E417" i="8"/>
  <c r="B418" i="8"/>
  <c r="C418" i="8"/>
  <c r="D418" i="8"/>
  <c r="E418" i="8"/>
  <c r="B419" i="8"/>
  <c r="C419" i="8"/>
  <c r="D419" i="8"/>
  <c r="E419" i="8"/>
  <c r="B420" i="8"/>
  <c r="C420" i="8"/>
  <c r="D420" i="8"/>
  <c r="E420" i="8"/>
  <c r="B421" i="8"/>
  <c r="C421" i="8"/>
  <c r="D421" i="8"/>
  <c r="E421" i="8"/>
  <c r="B422" i="8"/>
  <c r="C422" i="8"/>
  <c r="D422" i="8"/>
  <c r="E422" i="8"/>
  <c r="B423" i="8"/>
  <c r="C423" i="8"/>
  <c r="D423" i="8"/>
  <c r="E423" i="8"/>
  <c r="B424" i="8"/>
  <c r="C424" i="8"/>
  <c r="D424" i="8"/>
  <c r="E424" i="8"/>
  <c r="B425" i="8"/>
  <c r="C425" i="8"/>
  <c r="D425" i="8"/>
  <c r="E425" i="8"/>
  <c r="B426" i="8"/>
  <c r="C426" i="8"/>
  <c r="D426" i="8"/>
  <c r="E426" i="8"/>
  <c r="B427" i="8"/>
  <c r="C427" i="8"/>
  <c r="D427" i="8"/>
  <c r="E427" i="8"/>
  <c r="B428" i="8"/>
  <c r="C428" i="8"/>
  <c r="D428" i="8"/>
  <c r="E428" i="8"/>
  <c r="B429" i="8"/>
  <c r="C429" i="8"/>
  <c r="D429" i="8"/>
  <c r="E429" i="8"/>
  <c r="B430" i="8"/>
  <c r="C430" i="8"/>
  <c r="D430" i="8"/>
  <c r="E430" i="8"/>
  <c r="B431" i="8"/>
  <c r="C431" i="8"/>
  <c r="D431" i="8"/>
  <c r="E431" i="8"/>
  <c r="B432" i="8"/>
  <c r="C432" i="8"/>
  <c r="D432" i="8"/>
  <c r="E432" i="8"/>
  <c r="B433" i="8"/>
  <c r="C433" i="8"/>
  <c r="D433" i="8"/>
  <c r="E433" i="8"/>
  <c r="B434" i="8"/>
  <c r="C434" i="8"/>
  <c r="D434" i="8"/>
  <c r="E434" i="8"/>
  <c r="B435" i="8"/>
  <c r="C435" i="8"/>
  <c r="D435" i="8"/>
  <c r="E435" i="8"/>
  <c r="B436" i="8"/>
  <c r="C436" i="8"/>
  <c r="D436" i="8"/>
  <c r="E436" i="8"/>
  <c r="B437" i="8"/>
  <c r="C437" i="8"/>
  <c r="D437" i="8"/>
  <c r="E437" i="8"/>
  <c r="B438" i="8"/>
  <c r="C438" i="8"/>
  <c r="D438" i="8"/>
  <c r="E438" i="8"/>
  <c r="B439" i="8"/>
  <c r="C439" i="8"/>
  <c r="D439" i="8"/>
  <c r="E439" i="8"/>
  <c r="B440" i="8"/>
  <c r="C440" i="8"/>
  <c r="D440" i="8"/>
  <c r="E440" i="8"/>
  <c r="B441" i="8"/>
  <c r="C441" i="8"/>
  <c r="D441" i="8"/>
  <c r="E441" i="8"/>
  <c r="B442" i="8"/>
  <c r="C442" i="8"/>
  <c r="D442" i="8"/>
  <c r="E442" i="8"/>
  <c r="B443" i="8"/>
  <c r="C443" i="8"/>
  <c r="D443" i="8"/>
  <c r="E443" i="8"/>
  <c r="B444" i="8"/>
  <c r="C444" i="8"/>
  <c r="D444" i="8"/>
  <c r="E444" i="8"/>
  <c r="B445" i="8"/>
  <c r="C445" i="8"/>
  <c r="D445" i="8"/>
  <c r="E445" i="8"/>
  <c r="B446" i="8"/>
  <c r="C446" i="8"/>
  <c r="D446" i="8"/>
  <c r="E446" i="8"/>
  <c r="B447" i="8"/>
  <c r="C447" i="8"/>
  <c r="D447" i="8"/>
  <c r="E447" i="8"/>
  <c r="B448" i="8"/>
  <c r="C448" i="8"/>
  <c r="D448" i="8"/>
  <c r="E448" i="8"/>
  <c r="B449" i="8"/>
  <c r="C449" i="8"/>
  <c r="D449" i="8"/>
  <c r="E449" i="8"/>
  <c r="B450" i="8"/>
  <c r="C450" i="8"/>
  <c r="D450" i="8"/>
  <c r="E450" i="8"/>
  <c r="B451" i="8"/>
  <c r="C451" i="8"/>
  <c r="D451" i="8"/>
  <c r="E451" i="8"/>
  <c r="B452" i="8"/>
  <c r="C452" i="8"/>
  <c r="D452" i="8"/>
  <c r="E452" i="8"/>
  <c r="B453" i="8"/>
  <c r="C453" i="8"/>
  <c r="D453" i="8"/>
  <c r="E453" i="8"/>
  <c r="B454" i="8"/>
  <c r="C454" i="8"/>
  <c r="D454" i="8"/>
  <c r="E454" i="8"/>
  <c r="B455" i="8"/>
  <c r="C455" i="8"/>
  <c r="D455" i="8"/>
  <c r="E455" i="8"/>
  <c r="B456" i="8"/>
  <c r="C456" i="8"/>
  <c r="D456" i="8"/>
  <c r="E456" i="8"/>
  <c r="B457" i="8"/>
  <c r="C457" i="8"/>
  <c r="D457" i="8"/>
  <c r="E457" i="8"/>
  <c r="B458" i="8"/>
  <c r="C458" i="8"/>
  <c r="D458" i="8"/>
  <c r="E458" i="8"/>
  <c r="B459" i="8"/>
  <c r="C459" i="8"/>
  <c r="D459" i="8"/>
  <c r="E459" i="8"/>
  <c r="B460" i="8"/>
  <c r="C460" i="8"/>
  <c r="D460" i="8"/>
  <c r="E460" i="8"/>
  <c r="B461" i="8"/>
  <c r="C461" i="8"/>
  <c r="D461" i="8"/>
  <c r="E461" i="8"/>
  <c r="B462" i="8"/>
  <c r="C462" i="8"/>
  <c r="D462" i="8"/>
  <c r="E462" i="8"/>
  <c r="B463" i="8"/>
  <c r="C463" i="8"/>
  <c r="D463" i="8"/>
  <c r="E463" i="8"/>
  <c r="B464" i="8"/>
  <c r="C464" i="8"/>
  <c r="D464" i="8"/>
  <c r="E464" i="8"/>
  <c r="B465" i="8"/>
  <c r="C465" i="8"/>
  <c r="D465" i="8"/>
  <c r="E465" i="8"/>
  <c r="B466" i="8"/>
  <c r="C466" i="8"/>
  <c r="D466" i="8"/>
  <c r="E466" i="8"/>
  <c r="B467" i="8"/>
  <c r="C467" i="8"/>
  <c r="D467" i="8"/>
  <c r="E467" i="8"/>
  <c r="B468" i="8"/>
  <c r="C468" i="8"/>
  <c r="D468" i="8"/>
  <c r="E468" i="8"/>
  <c r="B469" i="8"/>
  <c r="C469" i="8"/>
  <c r="D469" i="8"/>
  <c r="E469" i="8"/>
  <c r="B470" i="8"/>
  <c r="C470" i="8"/>
  <c r="D470" i="8"/>
  <c r="E470" i="8"/>
  <c r="B471" i="8"/>
  <c r="C471" i="8"/>
  <c r="D471" i="8"/>
  <c r="E471" i="8"/>
  <c r="B472" i="8"/>
  <c r="C472" i="8"/>
  <c r="D472" i="8"/>
  <c r="E472" i="8"/>
  <c r="B473" i="8"/>
  <c r="C473" i="8"/>
  <c r="D473" i="8"/>
  <c r="E473" i="8"/>
  <c r="B474" i="8"/>
  <c r="C474" i="8"/>
  <c r="D474" i="8"/>
  <c r="E474" i="8"/>
  <c r="B475" i="8"/>
  <c r="C475" i="8"/>
  <c r="D475" i="8"/>
  <c r="E475" i="8"/>
  <c r="B476" i="8"/>
  <c r="C476" i="8"/>
  <c r="D476" i="8"/>
  <c r="E476" i="8"/>
  <c r="B477" i="8"/>
  <c r="C477" i="8"/>
  <c r="D477" i="8"/>
  <c r="E477" i="8"/>
  <c r="B478" i="8"/>
  <c r="C478" i="8"/>
  <c r="D478" i="8"/>
  <c r="E478" i="8"/>
  <c r="B479" i="8"/>
  <c r="C479" i="8"/>
  <c r="D479" i="8"/>
  <c r="E479" i="8"/>
  <c r="B480" i="8"/>
  <c r="C480" i="8"/>
  <c r="D480" i="8"/>
  <c r="E480" i="8"/>
  <c r="B481" i="8"/>
  <c r="C481" i="8"/>
  <c r="D481" i="8"/>
  <c r="E481" i="8"/>
  <c r="B482" i="8"/>
  <c r="C482" i="8"/>
  <c r="D482" i="8"/>
  <c r="E482" i="8"/>
  <c r="B483" i="8"/>
  <c r="C483" i="8"/>
  <c r="D483" i="8"/>
  <c r="E483" i="8"/>
  <c r="B484" i="8"/>
  <c r="C484" i="8"/>
  <c r="D484" i="8"/>
  <c r="E484" i="8"/>
  <c r="B485" i="8"/>
  <c r="C485" i="8"/>
  <c r="D485" i="8"/>
  <c r="E485" i="8"/>
  <c r="B486" i="8"/>
  <c r="C486" i="8"/>
  <c r="D486" i="8"/>
  <c r="E486" i="8"/>
  <c r="B487" i="8"/>
  <c r="C487" i="8"/>
  <c r="D487" i="8"/>
  <c r="E487" i="8"/>
  <c r="B488" i="8"/>
  <c r="C488" i="8"/>
  <c r="D488" i="8"/>
  <c r="E488" i="8"/>
  <c r="B489" i="8"/>
  <c r="C489" i="8"/>
  <c r="D489" i="8"/>
  <c r="E489" i="8"/>
  <c r="B490" i="8"/>
  <c r="C490" i="8"/>
  <c r="D490" i="8"/>
  <c r="E490" i="8"/>
  <c r="B491" i="8"/>
  <c r="C491" i="8"/>
  <c r="D491" i="8"/>
  <c r="E491" i="8"/>
  <c r="B492" i="8"/>
  <c r="C492" i="8"/>
  <c r="D492" i="8"/>
  <c r="E492" i="8"/>
  <c r="B493" i="8"/>
  <c r="C493" i="8"/>
  <c r="D493" i="8"/>
  <c r="E493" i="8"/>
  <c r="B494" i="8"/>
  <c r="C494" i="8"/>
  <c r="D494" i="8"/>
  <c r="E494" i="8"/>
  <c r="B495" i="8"/>
  <c r="C495" i="8"/>
  <c r="D495" i="8"/>
  <c r="E495" i="8"/>
  <c r="B496" i="8"/>
  <c r="C496" i="8"/>
  <c r="D496" i="8"/>
  <c r="E496" i="8"/>
  <c r="B497" i="8"/>
  <c r="C497" i="8"/>
  <c r="D497" i="8"/>
  <c r="E497" i="8"/>
  <c r="B498" i="8"/>
  <c r="C498" i="8"/>
  <c r="D498" i="8"/>
  <c r="E498" i="8"/>
  <c r="B499" i="8"/>
  <c r="C499" i="8"/>
  <c r="D499" i="8"/>
  <c r="E499" i="8"/>
  <c r="B500" i="8"/>
  <c r="C500" i="8"/>
  <c r="D500" i="8"/>
  <c r="E500" i="8"/>
  <c r="B2" i="8"/>
  <c r="C2" i="8"/>
  <c r="D2" i="8"/>
  <c r="E2" i="8"/>
  <c r="B3" i="8"/>
  <c r="C3" i="8"/>
  <c r="D3" i="8"/>
  <c r="E3" i="8"/>
  <c r="B4" i="8"/>
  <c r="C4" i="8"/>
  <c r="D4" i="8"/>
  <c r="E4" i="8"/>
  <c r="B5" i="8"/>
  <c r="C5" i="8"/>
  <c r="D5" i="8"/>
  <c r="E5" i="8"/>
  <c r="B6" i="8"/>
  <c r="C6" i="8"/>
  <c r="D6" i="8"/>
  <c r="E6" i="8"/>
  <c r="B7" i="8"/>
  <c r="C7" i="8"/>
  <c r="D7" i="8"/>
  <c r="E7" i="8"/>
  <c r="B8" i="8"/>
  <c r="C8" i="8"/>
  <c r="D8" i="8"/>
  <c r="E8" i="8"/>
  <c r="B9" i="8"/>
  <c r="C9" i="8"/>
  <c r="D9" i="8"/>
  <c r="E9" i="8"/>
  <c r="B10" i="8"/>
  <c r="C10" i="8"/>
  <c r="D10" i="8"/>
  <c r="E10" i="8"/>
  <c r="B11" i="8"/>
  <c r="C11" i="8"/>
  <c r="D11" i="8"/>
  <c r="E11" i="8"/>
  <c r="B12" i="8"/>
  <c r="C12" i="8"/>
  <c r="D12" i="8"/>
  <c r="E12" i="8"/>
  <c r="B13" i="8"/>
  <c r="C13" i="8"/>
  <c r="D13" i="8"/>
  <c r="E13" i="8"/>
  <c r="B14" i="8"/>
  <c r="C14" i="8"/>
  <c r="D14" i="8"/>
  <c r="E14" i="8"/>
  <c r="B15" i="8"/>
  <c r="C15" i="8"/>
  <c r="D15" i="8"/>
  <c r="E15" i="8"/>
  <c r="B16" i="8"/>
  <c r="C16" i="8"/>
  <c r="D16" i="8"/>
  <c r="E16" i="8"/>
  <c r="B17" i="8"/>
  <c r="C17" i="8"/>
  <c r="D17" i="8"/>
  <c r="E17" i="8"/>
  <c r="B18" i="8"/>
  <c r="C18" i="8"/>
  <c r="D18" i="8"/>
  <c r="E18" i="8"/>
  <c r="B19" i="8"/>
  <c r="C19" i="8"/>
  <c r="D19" i="8"/>
  <c r="E19" i="8"/>
  <c r="B20" i="8"/>
  <c r="C20" i="8"/>
  <c r="D20" i="8"/>
  <c r="E20" i="8"/>
  <c r="B21" i="8"/>
  <c r="C21" i="8"/>
  <c r="D21" i="8"/>
  <c r="E21" i="8"/>
  <c r="B22" i="8"/>
  <c r="C22" i="8"/>
  <c r="D22" i="8"/>
  <c r="E22" i="8"/>
  <c r="B23" i="8"/>
  <c r="C23" i="8"/>
  <c r="D23" i="8"/>
  <c r="E23" i="8"/>
  <c r="B24" i="8"/>
  <c r="C24" i="8"/>
  <c r="D24" i="8"/>
  <c r="E24" i="8"/>
  <c r="B25" i="8"/>
  <c r="C25" i="8"/>
  <c r="D25" i="8"/>
  <c r="E25" i="8"/>
  <c r="B26" i="8"/>
  <c r="C26" i="8"/>
  <c r="D26" i="8"/>
  <c r="E26" i="8"/>
  <c r="B27" i="8"/>
  <c r="C27" i="8"/>
  <c r="D27" i="8"/>
  <c r="E27" i="8"/>
  <c r="B28" i="8"/>
  <c r="C28" i="8"/>
  <c r="D28" i="8"/>
  <c r="E28" i="8"/>
  <c r="B29" i="8"/>
  <c r="C29" i="8"/>
  <c r="D29" i="8"/>
  <c r="E29" i="8"/>
  <c r="B30" i="8"/>
  <c r="C30" i="8"/>
  <c r="D30" i="8"/>
  <c r="E30" i="8"/>
  <c r="B31" i="8"/>
  <c r="C31" i="8"/>
  <c r="D31" i="8"/>
  <c r="E31" i="8"/>
  <c r="B32" i="8"/>
  <c r="C32" i="8"/>
  <c r="D32" i="8"/>
  <c r="E32" i="8"/>
  <c r="B33" i="8"/>
  <c r="C33" i="8"/>
  <c r="D33" i="8"/>
  <c r="E33" i="8"/>
  <c r="B34" i="8"/>
  <c r="C34" i="8"/>
  <c r="D34" i="8"/>
  <c r="E34" i="8"/>
  <c r="B35" i="8"/>
  <c r="C35" i="8"/>
  <c r="D35" i="8"/>
  <c r="E35" i="8"/>
  <c r="B36" i="8"/>
  <c r="C36" i="8"/>
  <c r="D36" i="8"/>
  <c r="E36" i="8"/>
  <c r="B37" i="8"/>
  <c r="C37" i="8"/>
  <c r="D37" i="8"/>
  <c r="E37" i="8"/>
  <c r="B38" i="8"/>
  <c r="C38" i="8"/>
  <c r="D38" i="8"/>
  <c r="E38" i="8"/>
  <c r="B39" i="8"/>
  <c r="C39" i="8"/>
  <c r="D39" i="8"/>
  <c r="E39" i="8"/>
  <c r="B40" i="8"/>
  <c r="C40" i="8"/>
  <c r="D40" i="8"/>
  <c r="E40" i="8"/>
  <c r="B41" i="8"/>
  <c r="C41" i="8"/>
  <c r="D41" i="8"/>
  <c r="E41" i="8"/>
  <c r="B42" i="8"/>
  <c r="C42" i="8"/>
  <c r="D42" i="8"/>
  <c r="E42" i="8"/>
  <c r="B43" i="8"/>
  <c r="C43" i="8"/>
  <c r="D43" i="8"/>
  <c r="E43" i="8"/>
  <c r="B44" i="8"/>
  <c r="C44" i="8"/>
  <c r="D44" i="8"/>
  <c r="E44" i="8"/>
  <c r="B45" i="8"/>
  <c r="C45" i="8"/>
  <c r="D45" i="8"/>
  <c r="E45" i="8"/>
  <c r="B46" i="8"/>
  <c r="C46" i="8"/>
  <c r="D46" i="8"/>
  <c r="E46" i="8"/>
  <c r="B47" i="8"/>
  <c r="C47" i="8"/>
  <c r="D47" i="8"/>
  <c r="E47" i="8"/>
  <c r="B48" i="8"/>
  <c r="C48" i="8"/>
  <c r="D48" i="8"/>
  <c r="E48" i="8"/>
  <c r="B49" i="8"/>
  <c r="C49" i="8"/>
  <c r="D49" i="8"/>
  <c r="E49" i="8"/>
  <c r="B50" i="8"/>
  <c r="C50" i="8"/>
  <c r="D50" i="8"/>
  <c r="E50" i="8"/>
  <c r="B51" i="8"/>
  <c r="C51" i="8"/>
  <c r="D51" i="8"/>
  <c r="E51" i="8"/>
  <c r="B52" i="8"/>
  <c r="C52" i="8"/>
  <c r="D52" i="8"/>
  <c r="E52" i="8"/>
  <c r="B53" i="8"/>
  <c r="C53" i="8"/>
  <c r="D53" i="8"/>
  <c r="E53" i="8"/>
  <c r="B54" i="8"/>
  <c r="C54" i="8"/>
  <c r="D54" i="8"/>
  <c r="E54" i="8"/>
  <c r="B55" i="8"/>
  <c r="C55" i="8"/>
  <c r="D55" i="8"/>
  <c r="E55" i="8"/>
  <c r="B56" i="8"/>
  <c r="C56" i="8"/>
  <c r="D56" i="8"/>
  <c r="E56" i="8"/>
  <c r="B57" i="8"/>
  <c r="C57" i="8"/>
  <c r="D57" i="8"/>
  <c r="E57" i="8"/>
  <c r="B58" i="8"/>
  <c r="C58" i="8"/>
  <c r="D58" i="8"/>
  <c r="E58" i="8"/>
  <c r="B59" i="8"/>
  <c r="C59" i="8"/>
  <c r="D59" i="8"/>
  <c r="E59" i="8"/>
  <c r="B60" i="8"/>
  <c r="C60" i="8"/>
  <c r="D60" i="8"/>
  <c r="E60" i="8"/>
  <c r="B61" i="8"/>
  <c r="C61" i="8"/>
  <c r="D61" i="8"/>
  <c r="E61" i="8"/>
  <c r="B62" i="8"/>
  <c r="C62" i="8"/>
  <c r="D62" i="8"/>
  <c r="E62" i="8"/>
  <c r="B63" i="8"/>
  <c r="C63" i="8"/>
  <c r="D63" i="8"/>
  <c r="E63" i="8"/>
  <c r="B64" i="8"/>
  <c r="C64" i="8"/>
  <c r="D64" i="8"/>
  <c r="E64" i="8"/>
  <c r="B65" i="8"/>
  <c r="C65" i="8"/>
  <c r="D65" i="8"/>
  <c r="E65" i="8"/>
  <c r="B66" i="8"/>
  <c r="C66" i="8"/>
  <c r="D66" i="8"/>
  <c r="E66" i="8"/>
  <c r="B67" i="8"/>
  <c r="C67" i="8"/>
  <c r="D67" i="8"/>
  <c r="E67" i="8"/>
  <c r="B68" i="8"/>
  <c r="C68" i="8"/>
  <c r="D68" i="8"/>
  <c r="E68" i="8"/>
  <c r="B69" i="8"/>
  <c r="C69" i="8"/>
  <c r="D69" i="8"/>
  <c r="E69" i="8"/>
  <c r="B70" i="8"/>
  <c r="C70" i="8"/>
  <c r="D70" i="8"/>
  <c r="E70" i="8"/>
  <c r="B71" i="8"/>
  <c r="C71" i="8"/>
  <c r="D71" i="8"/>
  <c r="E71" i="8"/>
  <c r="B72" i="8"/>
  <c r="C72" i="8"/>
  <c r="D72" i="8"/>
  <c r="E72" i="8"/>
  <c r="B73" i="8"/>
  <c r="C73" i="8"/>
  <c r="D73" i="8"/>
  <c r="E73" i="8"/>
  <c r="B74" i="8"/>
  <c r="C74" i="8"/>
  <c r="D74" i="8"/>
  <c r="E74" i="8"/>
  <c r="B75" i="8"/>
  <c r="C75" i="8"/>
  <c r="D75" i="8"/>
  <c r="E75" i="8"/>
  <c r="B76" i="8"/>
  <c r="C76" i="8"/>
  <c r="D76" i="8"/>
  <c r="E76" i="8"/>
  <c r="B77" i="8"/>
  <c r="C77" i="8"/>
  <c r="D77" i="8"/>
  <c r="E77" i="8"/>
  <c r="B78" i="8"/>
  <c r="C78" i="8"/>
  <c r="D78" i="8"/>
  <c r="E78" i="8"/>
  <c r="B79" i="8"/>
  <c r="C79" i="8"/>
  <c r="D79" i="8"/>
  <c r="E79" i="8"/>
  <c r="B80" i="8"/>
  <c r="C80" i="8"/>
  <c r="D80" i="8"/>
  <c r="E80" i="8"/>
  <c r="B81" i="8"/>
  <c r="C81" i="8"/>
  <c r="D81" i="8"/>
  <c r="E81" i="8"/>
  <c r="B82" i="8"/>
  <c r="C82" i="8"/>
  <c r="D82" i="8"/>
  <c r="E82" i="8"/>
  <c r="B83" i="8"/>
  <c r="C83" i="8"/>
  <c r="D83" i="8"/>
  <c r="E83" i="8"/>
  <c r="B84" i="8"/>
  <c r="C84" i="8"/>
  <c r="D84" i="8"/>
  <c r="E84" i="8"/>
  <c r="B85" i="8"/>
  <c r="C85" i="8"/>
  <c r="D85" i="8"/>
  <c r="E85" i="8"/>
  <c r="B86" i="8"/>
  <c r="C86" i="8"/>
  <c r="D86" i="8"/>
  <c r="E86" i="8"/>
  <c r="B87" i="8"/>
  <c r="C87" i="8"/>
  <c r="D87" i="8"/>
  <c r="E87" i="8"/>
  <c r="B88" i="8"/>
  <c r="C88" i="8"/>
  <c r="D88" i="8"/>
  <c r="E88" i="8"/>
  <c r="B89" i="8"/>
  <c r="C89" i="8"/>
  <c r="D89" i="8"/>
  <c r="E89" i="8"/>
  <c r="B90" i="8"/>
  <c r="C90" i="8"/>
  <c r="D90" i="8"/>
  <c r="E90" i="8"/>
  <c r="B91" i="8"/>
  <c r="C91" i="8"/>
  <c r="D91" i="8"/>
  <c r="E91" i="8"/>
  <c r="B92" i="8"/>
  <c r="C92" i="8"/>
  <c r="D92" i="8"/>
  <c r="E92" i="8"/>
  <c r="B93" i="8"/>
  <c r="C93" i="8"/>
  <c r="D93" i="8"/>
  <c r="E93" i="8"/>
  <c r="B94" i="8"/>
  <c r="C94" i="8"/>
  <c r="D94" i="8"/>
  <c r="E94" i="8"/>
  <c r="B95" i="8"/>
  <c r="C95" i="8"/>
  <c r="D95" i="8"/>
  <c r="E95" i="8"/>
  <c r="B96" i="8"/>
  <c r="C96" i="8"/>
  <c r="D96" i="8"/>
  <c r="E96" i="8"/>
  <c r="B97" i="8"/>
  <c r="C97" i="8"/>
  <c r="D97" i="8"/>
  <c r="E97" i="8"/>
  <c r="B98" i="8"/>
  <c r="C98" i="8"/>
  <c r="D98" i="8"/>
  <c r="E98" i="8"/>
  <c r="B99" i="8"/>
  <c r="C99" i="8"/>
  <c r="D99" i="8"/>
  <c r="E99" i="8"/>
  <c r="B100" i="8"/>
  <c r="C100" i="8"/>
  <c r="D100" i="8"/>
  <c r="E100" i="8"/>
  <c r="B101" i="8"/>
  <c r="C101" i="8"/>
  <c r="D101" i="8"/>
  <c r="E101" i="8"/>
  <c r="B102" i="8"/>
  <c r="C102" i="8"/>
  <c r="D102" i="8"/>
  <c r="E102" i="8"/>
  <c r="B103" i="8"/>
  <c r="C103" i="8"/>
  <c r="D103" i="8"/>
  <c r="E103" i="8"/>
  <c r="B104" i="8"/>
  <c r="C104" i="8"/>
  <c r="D104" i="8"/>
  <c r="E104" i="8"/>
  <c r="B105" i="8"/>
  <c r="C105" i="8"/>
  <c r="D105" i="8"/>
  <c r="E105" i="8"/>
  <c r="B106" i="8"/>
  <c r="C106" i="8"/>
  <c r="D106" i="8"/>
  <c r="E106" i="8"/>
  <c r="B107" i="8"/>
  <c r="C107" i="8"/>
  <c r="D107" i="8"/>
  <c r="E107" i="8"/>
  <c r="B108" i="8"/>
  <c r="C108" i="8"/>
  <c r="D108" i="8"/>
  <c r="E108" i="8"/>
  <c r="B109" i="8"/>
  <c r="C109" i="8"/>
  <c r="D109" i="8"/>
  <c r="E109" i="8"/>
  <c r="B110" i="8"/>
  <c r="C110" i="8"/>
  <c r="D110" i="8"/>
  <c r="E110" i="8"/>
  <c r="B111" i="8"/>
  <c r="C111" i="8"/>
  <c r="D111" i="8"/>
  <c r="E111" i="8"/>
  <c r="B112" i="8"/>
  <c r="C112" i="8"/>
  <c r="D112" i="8"/>
  <c r="E112" i="8"/>
  <c r="B113" i="8"/>
  <c r="C113" i="8"/>
  <c r="D113" i="8"/>
  <c r="E113" i="8"/>
  <c r="B114" i="8"/>
  <c r="C114" i="8"/>
  <c r="D114" i="8"/>
  <c r="E114" i="8"/>
  <c r="B115" i="8"/>
  <c r="C115" i="8"/>
  <c r="D115" i="8"/>
  <c r="E115" i="8"/>
  <c r="B116" i="8"/>
  <c r="C116" i="8"/>
  <c r="D116" i="8"/>
  <c r="E116" i="8"/>
  <c r="B117" i="8"/>
  <c r="C117" i="8"/>
  <c r="D117" i="8"/>
  <c r="E117" i="8"/>
  <c r="B118" i="8"/>
  <c r="C118" i="8"/>
  <c r="D118" i="8"/>
  <c r="E118" i="8"/>
  <c r="B119" i="8"/>
  <c r="C119" i="8"/>
  <c r="D119" i="8"/>
  <c r="E119" i="8"/>
  <c r="B120" i="8"/>
  <c r="C120" i="8"/>
  <c r="D120" i="8"/>
  <c r="E120" i="8"/>
  <c r="B121" i="8"/>
  <c r="C121" i="8"/>
  <c r="D121" i="8"/>
  <c r="E121" i="8"/>
  <c r="B122" i="8"/>
  <c r="C122" i="8"/>
  <c r="D122" i="8"/>
  <c r="E122" i="8"/>
  <c r="B123" i="8"/>
  <c r="C123" i="8"/>
  <c r="D123" i="8"/>
  <c r="E123" i="8"/>
  <c r="B124" i="8"/>
  <c r="C124" i="8"/>
  <c r="D124" i="8"/>
  <c r="E124" i="8"/>
  <c r="B125" i="8"/>
  <c r="C125" i="8"/>
  <c r="D125" i="8"/>
  <c r="E125" i="8"/>
  <c r="B126" i="8"/>
  <c r="C126" i="8"/>
  <c r="D126" i="8"/>
  <c r="E126" i="8"/>
  <c r="B127" i="8"/>
  <c r="C127" i="8"/>
  <c r="D127" i="8"/>
  <c r="E127" i="8"/>
  <c r="B128" i="8"/>
  <c r="C128" i="8"/>
  <c r="D128" i="8"/>
  <c r="E128" i="8"/>
  <c r="B129" i="8"/>
  <c r="C129" i="8"/>
  <c r="D129" i="8"/>
  <c r="E129" i="8"/>
  <c r="B130" i="8"/>
  <c r="C130" i="8"/>
  <c r="D130" i="8"/>
  <c r="E130" i="8"/>
  <c r="B131" i="8"/>
  <c r="C131" i="8"/>
  <c r="D131" i="8"/>
  <c r="E131" i="8"/>
  <c r="B132" i="8"/>
  <c r="C132" i="8"/>
  <c r="D132" i="8"/>
  <c r="E132" i="8"/>
  <c r="B133" i="8"/>
  <c r="C133" i="8"/>
  <c r="D133" i="8"/>
  <c r="E133" i="8"/>
  <c r="B134" i="8"/>
  <c r="C134" i="8"/>
  <c r="D134" i="8"/>
  <c r="E134" i="8"/>
  <c r="B135" i="8"/>
  <c r="C135" i="8"/>
  <c r="D135" i="8"/>
  <c r="E135" i="8"/>
  <c r="B136" i="8"/>
  <c r="C136" i="8"/>
  <c r="D136" i="8"/>
  <c r="E136" i="8"/>
  <c r="B137" i="8"/>
  <c r="C137" i="8"/>
  <c r="D137" i="8"/>
  <c r="E137" i="8"/>
  <c r="B138" i="8"/>
  <c r="C138" i="8"/>
  <c r="D138" i="8"/>
  <c r="E138" i="8"/>
  <c r="B139" i="8"/>
  <c r="C139" i="8"/>
  <c r="D139" i="8"/>
  <c r="E139" i="8"/>
  <c r="B140" i="8"/>
  <c r="C140" i="8"/>
  <c r="D140" i="8"/>
  <c r="E140" i="8"/>
  <c r="B141" i="8"/>
  <c r="C141" i="8"/>
  <c r="D141" i="8"/>
  <c r="E141" i="8"/>
  <c r="B142" i="8"/>
  <c r="C142" i="8"/>
  <c r="D142" i="8"/>
  <c r="E142" i="8"/>
  <c r="B143" i="8"/>
  <c r="C143" i="8"/>
  <c r="D143" i="8"/>
  <c r="E143" i="8"/>
  <c r="B144" i="8"/>
  <c r="C144" i="8"/>
  <c r="D144" i="8"/>
  <c r="E144" i="8"/>
  <c r="B145" i="8"/>
  <c r="C145" i="8"/>
  <c r="D145" i="8"/>
  <c r="E145" i="8"/>
  <c r="B146" i="8"/>
  <c r="C146" i="8"/>
  <c r="D146" i="8"/>
  <c r="E146" i="8"/>
  <c r="B147" i="8"/>
  <c r="C147" i="8"/>
  <c r="D147" i="8"/>
  <c r="E147" i="8"/>
  <c r="B148" i="8"/>
  <c r="C148" i="8"/>
  <c r="D148" i="8"/>
  <c r="E148" i="8"/>
  <c r="B149" i="8"/>
  <c r="C149" i="8"/>
  <c r="D149" i="8"/>
  <c r="E149" i="8"/>
  <c r="B150" i="8"/>
  <c r="C150" i="8"/>
  <c r="D150" i="8"/>
  <c r="E150" i="8"/>
  <c r="B151" i="8"/>
  <c r="C151" i="8"/>
  <c r="D151" i="8"/>
  <c r="E151" i="8"/>
  <c r="B152" i="8"/>
  <c r="C152" i="8"/>
  <c r="D152" i="8"/>
  <c r="E152" i="8"/>
  <c r="B153" i="8"/>
  <c r="C153" i="8"/>
  <c r="D153" i="8"/>
  <c r="E153" i="8"/>
  <c r="B154" i="8"/>
  <c r="C154" i="8"/>
  <c r="D154" i="8"/>
  <c r="E154" i="8"/>
  <c r="B155" i="8"/>
  <c r="C155" i="8"/>
  <c r="D155" i="8"/>
  <c r="E155" i="8"/>
  <c r="B156" i="8"/>
  <c r="C156" i="8"/>
  <c r="D156" i="8"/>
  <c r="E156" i="8"/>
  <c r="B157" i="8"/>
  <c r="C157" i="8"/>
  <c r="D157" i="8"/>
  <c r="E157" i="8"/>
  <c r="B158" i="8"/>
  <c r="C158" i="8"/>
  <c r="D158" i="8"/>
  <c r="E158" i="8"/>
  <c r="B159" i="8"/>
  <c r="C159" i="8"/>
  <c r="D159" i="8"/>
  <c r="E159" i="8"/>
  <c r="B160" i="8"/>
  <c r="C160" i="8"/>
  <c r="D160" i="8"/>
  <c r="E160" i="8"/>
  <c r="B161" i="8"/>
  <c r="C161" i="8"/>
  <c r="D161" i="8"/>
  <c r="E161" i="8"/>
  <c r="B162" i="8"/>
  <c r="C162" i="8"/>
  <c r="D162" i="8"/>
  <c r="E162" i="8"/>
  <c r="B163" i="8"/>
  <c r="C163" i="8"/>
  <c r="D163" i="8"/>
  <c r="E163" i="8"/>
  <c r="B164" i="8"/>
  <c r="C164" i="8"/>
  <c r="D164" i="8"/>
  <c r="E164" i="8"/>
  <c r="B165" i="8"/>
  <c r="C165" i="8"/>
  <c r="D165" i="8"/>
  <c r="E165" i="8"/>
  <c r="B166" i="8"/>
  <c r="C166" i="8"/>
  <c r="D166" i="8"/>
  <c r="E166" i="8"/>
  <c r="B167" i="8"/>
  <c r="C167" i="8"/>
  <c r="D167" i="8"/>
  <c r="E167" i="8"/>
  <c r="B168" i="8"/>
  <c r="C168" i="8"/>
  <c r="D168" i="8"/>
  <c r="E168" i="8"/>
  <c r="B169" i="8"/>
  <c r="C169" i="8"/>
  <c r="D169" i="8"/>
  <c r="E169" i="8"/>
  <c r="B170" i="8"/>
  <c r="C170" i="8"/>
  <c r="D170" i="8"/>
  <c r="E170" i="8"/>
  <c r="B171" i="8"/>
  <c r="C171" i="8"/>
  <c r="D171" i="8"/>
  <c r="E171" i="8"/>
  <c r="B172" i="8"/>
  <c r="C172" i="8"/>
  <c r="D172" i="8"/>
  <c r="E172" i="8"/>
  <c r="B173" i="8"/>
  <c r="C173" i="8"/>
  <c r="D173" i="8"/>
  <c r="E173" i="8"/>
  <c r="B174" i="8"/>
  <c r="C174" i="8"/>
  <c r="D174" i="8"/>
  <c r="E174" i="8"/>
  <c r="B175" i="8"/>
  <c r="C175" i="8"/>
  <c r="D175" i="8"/>
  <c r="E175" i="8"/>
  <c r="B176" i="8"/>
  <c r="C176" i="8"/>
  <c r="D176" i="8"/>
  <c r="E176" i="8"/>
  <c r="B177" i="8"/>
  <c r="C177" i="8"/>
  <c r="D177" i="8"/>
  <c r="E177" i="8"/>
  <c r="B178" i="8"/>
  <c r="C178" i="8"/>
  <c r="D178" i="8"/>
  <c r="E178" i="8"/>
  <c r="B179" i="8"/>
  <c r="C179" i="8"/>
  <c r="D179" i="8"/>
  <c r="E179" i="8"/>
  <c r="B180" i="8"/>
  <c r="C180" i="8"/>
  <c r="D180" i="8"/>
  <c r="E180" i="8"/>
  <c r="B181" i="8"/>
  <c r="C181" i="8"/>
  <c r="D181" i="8"/>
  <c r="E181" i="8"/>
  <c r="B182" i="8"/>
  <c r="C182" i="8"/>
  <c r="D182" i="8"/>
  <c r="E182" i="8"/>
  <c r="B183" i="8"/>
  <c r="C183" i="8"/>
  <c r="D183" i="8"/>
  <c r="E183" i="8"/>
  <c r="B184" i="8"/>
  <c r="C184" i="8"/>
  <c r="D184" i="8"/>
  <c r="E184" i="8"/>
  <c r="B185" i="8"/>
  <c r="C185" i="8"/>
  <c r="D185" i="8"/>
  <c r="E185" i="8"/>
  <c r="B186" i="8"/>
  <c r="C186" i="8"/>
  <c r="D186" i="8"/>
  <c r="E186" i="8"/>
  <c r="B187" i="8"/>
  <c r="C187" i="8"/>
  <c r="D187" i="8"/>
  <c r="E187" i="8"/>
  <c r="B188" i="8"/>
  <c r="C188" i="8"/>
  <c r="D188" i="8"/>
  <c r="E188" i="8"/>
  <c r="B189" i="8"/>
  <c r="C189" i="8"/>
  <c r="D189" i="8"/>
  <c r="E189" i="8"/>
  <c r="B190" i="8"/>
  <c r="C190" i="8"/>
  <c r="D190" i="8"/>
  <c r="E190" i="8"/>
  <c r="B191" i="8"/>
  <c r="C191" i="8"/>
  <c r="D191" i="8"/>
  <c r="E191" i="8"/>
  <c r="B192" i="8"/>
  <c r="C192" i="8"/>
  <c r="D192" i="8"/>
  <c r="E192" i="8"/>
  <c r="B193" i="8"/>
  <c r="C193" i="8"/>
  <c r="D193" i="8"/>
  <c r="E193" i="8"/>
  <c r="B194" i="8"/>
  <c r="C194" i="8"/>
  <c r="D194" i="8"/>
  <c r="E194" i="8"/>
  <c r="B195" i="8"/>
  <c r="C195" i="8"/>
  <c r="D195" i="8"/>
  <c r="E195" i="8"/>
  <c r="B196" i="8"/>
  <c r="C196" i="8"/>
  <c r="D196" i="8"/>
  <c r="E196" i="8"/>
  <c r="B197" i="8"/>
  <c r="C197" i="8"/>
  <c r="D197" i="8"/>
  <c r="E197" i="8"/>
  <c r="B198" i="8"/>
  <c r="C198" i="8"/>
  <c r="D198" i="8"/>
  <c r="E198" i="8"/>
  <c r="B199" i="8"/>
  <c r="C199" i="8"/>
  <c r="D199" i="8"/>
  <c r="E199" i="8"/>
  <c r="B200" i="8"/>
  <c r="C200" i="8"/>
  <c r="D200" i="8"/>
  <c r="E200" i="8"/>
  <c r="B201" i="8"/>
  <c r="C201" i="8"/>
  <c r="D201" i="8"/>
  <c r="E201" i="8"/>
  <c r="B202" i="8"/>
  <c r="C202" i="8"/>
  <c r="D202" i="8"/>
  <c r="E202" i="8"/>
  <c r="B203" i="8"/>
  <c r="C203" i="8"/>
  <c r="D203" i="8"/>
  <c r="E203" i="8"/>
  <c r="B204" i="8"/>
  <c r="C204" i="8"/>
  <c r="D204" i="8"/>
  <c r="E204" i="8"/>
  <c r="B205" i="8"/>
  <c r="C205" i="8"/>
  <c r="D205" i="8"/>
  <c r="E205" i="8"/>
  <c r="B206" i="8"/>
  <c r="C206" i="8"/>
  <c r="D206" i="8"/>
  <c r="E206" i="8"/>
  <c r="B207" i="8"/>
  <c r="C207" i="8"/>
  <c r="D207" i="8"/>
  <c r="E207" i="8"/>
  <c r="B208" i="8"/>
  <c r="C208" i="8"/>
  <c r="D208" i="8"/>
  <c r="E208" i="8"/>
  <c r="B209" i="8"/>
  <c r="C209" i="8"/>
  <c r="D209" i="8"/>
  <c r="E209" i="8"/>
  <c r="B210" i="8"/>
  <c r="C210" i="8"/>
  <c r="D210" i="8"/>
  <c r="E210" i="8"/>
  <c r="B211" i="8"/>
  <c r="C211" i="8"/>
  <c r="D211" i="8"/>
  <c r="E211" i="8"/>
  <c r="B212" i="8"/>
  <c r="C212" i="8"/>
  <c r="D212" i="8"/>
  <c r="E212" i="8"/>
  <c r="B213" i="8"/>
  <c r="C213" i="8"/>
  <c r="D213" i="8"/>
  <c r="E213" i="8"/>
  <c r="B214" i="8"/>
  <c r="C214" i="8"/>
  <c r="D214" i="8"/>
  <c r="E214" i="8"/>
  <c r="B215" i="8"/>
  <c r="C215" i="8"/>
  <c r="D215" i="8"/>
  <c r="E215" i="8"/>
  <c r="B216" i="8"/>
  <c r="C216" i="8"/>
  <c r="D216" i="8"/>
  <c r="E216" i="8"/>
  <c r="B217" i="8"/>
  <c r="C217" i="8"/>
  <c r="D217" i="8"/>
  <c r="E217" i="8"/>
  <c r="B218" i="8"/>
  <c r="C218" i="8"/>
  <c r="D218" i="8"/>
  <c r="E218" i="8"/>
  <c r="B219" i="8"/>
  <c r="C219" i="8"/>
  <c r="D219" i="8"/>
  <c r="E219" i="8"/>
  <c r="B220" i="8"/>
  <c r="C220" i="8"/>
  <c r="D220" i="8"/>
  <c r="E220" i="8"/>
  <c r="B221" i="8"/>
  <c r="C221" i="8"/>
  <c r="D221" i="8"/>
  <c r="E221" i="8"/>
  <c r="B222" i="8"/>
  <c r="C222" i="8"/>
  <c r="D222" i="8"/>
  <c r="E222" i="8"/>
  <c r="B223" i="8"/>
  <c r="C223" i="8"/>
  <c r="D223" i="8"/>
  <c r="E223" i="8"/>
  <c r="B224" i="8"/>
  <c r="C224" i="8"/>
  <c r="D224" i="8"/>
  <c r="E224" i="8"/>
  <c r="B225" i="8"/>
  <c r="C225" i="8"/>
  <c r="D225" i="8"/>
  <c r="E225" i="8"/>
  <c r="B226" i="8"/>
  <c r="C226" i="8"/>
  <c r="D226" i="8"/>
  <c r="E226" i="8"/>
  <c r="B227" i="8"/>
  <c r="C227" i="8"/>
  <c r="D227" i="8"/>
  <c r="E227" i="8"/>
  <c r="B228" i="8"/>
  <c r="C228" i="8"/>
  <c r="D228" i="8"/>
  <c r="E228" i="8"/>
  <c r="B229" i="8"/>
  <c r="C229" i="8"/>
  <c r="D229" i="8"/>
  <c r="E229" i="8"/>
  <c r="B230" i="8"/>
  <c r="C230" i="8"/>
  <c r="D230" i="8"/>
  <c r="E230" i="8"/>
  <c r="B231" i="8"/>
  <c r="C231" i="8"/>
  <c r="D231" i="8"/>
  <c r="E231" i="8"/>
  <c r="B232" i="8"/>
  <c r="C232" i="8"/>
  <c r="D232" i="8"/>
  <c r="E232" i="8"/>
  <c r="B233" i="8"/>
  <c r="C233" i="8"/>
  <c r="D233" i="8"/>
  <c r="E233" i="8"/>
  <c r="B234" i="8"/>
  <c r="C234" i="8"/>
  <c r="D234" i="8"/>
  <c r="E234" i="8"/>
  <c r="B235" i="8"/>
  <c r="C235" i="8"/>
  <c r="D235" i="8"/>
  <c r="E235" i="8"/>
  <c r="B236" i="8"/>
  <c r="C236" i="8"/>
  <c r="D236" i="8"/>
  <c r="E236" i="8"/>
  <c r="B237" i="8"/>
  <c r="C237" i="8"/>
  <c r="D237" i="8"/>
  <c r="E237" i="8"/>
  <c r="B238" i="8"/>
  <c r="C238" i="8"/>
  <c r="D238" i="8"/>
  <c r="E238" i="8"/>
  <c r="B239" i="8"/>
  <c r="C239" i="8"/>
  <c r="D239" i="8"/>
  <c r="E239" i="8"/>
  <c r="B240" i="8"/>
  <c r="C240" i="8"/>
  <c r="D240" i="8"/>
  <c r="E240" i="8"/>
  <c r="B241" i="8"/>
  <c r="C241" i="8"/>
  <c r="D241" i="8"/>
  <c r="E241" i="8"/>
  <c r="B242" i="8"/>
  <c r="C242" i="8"/>
  <c r="D242" i="8"/>
  <c r="E242" i="8"/>
  <c r="B243" i="8"/>
  <c r="C243" i="8"/>
  <c r="D243" i="8"/>
  <c r="E243" i="8"/>
  <c r="B244" i="8"/>
  <c r="C244" i="8"/>
  <c r="D244" i="8"/>
  <c r="E244" i="8"/>
  <c r="B245" i="8"/>
  <c r="C245" i="8"/>
  <c r="D245" i="8"/>
  <c r="E245" i="8"/>
  <c r="B246" i="8"/>
  <c r="C246" i="8"/>
  <c r="D246" i="8"/>
  <c r="E246" i="8"/>
  <c r="B247" i="8"/>
  <c r="C247" i="8"/>
  <c r="D247" i="8"/>
  <c r="E247" i="8"/>
  <c r="B248" i="8"/>
  <c r="C248" i="8"/>
  <c r="D248" i="8"/>
  <c r="E248" i="8"/>
  <c r="B249" i="8"/>
  <c r="C249" i="8"/>
  <c r="D249" i="8"/>
  <c r="E249" i="8"/>
  <c r="B250" i="8"/>
  <c r="C250" i="8"/>
  <c r="D250" i="8"/>
  <c r="E250" i="8"/>
</calcChain>
</file>

<file path=xl/sharedStrings.xml><?xml version="1.0" encoding="utf-8"?>
<sst xmlns="http://schemas.openxmlformats.org/spreadsheetml/2006/main" count="4028" uniqueCount="148">
  <si>
    <t>México</t>
  </si>
  <si>
    <t>Entidad</t>
  </si>
  <si>
    <t>Variable</t>
  </si>
  <si>
    <t>Valor</t>
  </si>
  <si>
    <t>Que_mide</t>
  </si>
  <si>
    <t>Unidad</t>
  </si>
  <si>
    <t>Fuente</t>
  </si>
  <si>
    <t>Aguascalientes</t>
  </si>
  <si>
    <t>Brecha de ingresos por género</t>
  </si>
  <si>
    <t>Valor absoluto de la diferencia de ingresos mensuales promedio de hombres y mujeres dividida entre los ingresos mensuales promedio de los hombres</t>
  </si>
  <si>
    <t>Porcentaje</t>
  </si>
  <si>
    <t>Elaborado por el IMCO con datos del 3T2024 de la Encuesta Nacional de Ocupación y Empleo (ENOE) del INEGI.</t>
  </si>
  <si>
    <t>Baja California</t>
  </si>
  <si>
    <t>Baja California Sur</t>
  </si>
  <si>
    <t>Campeche</t>
  </si>
  <si>
    <t>Chiapas</t>
  </si>
  <si>
    <t>Chihuahua</t>
  </si>
  <si>
    <t>Ciudad de México</t>
  </si>
  <si>
    <t>Coahuila</t>
  </si>
  <si>
    <t>Colima</t>
  </si>
  <si>
    <t>Durango</t>
  </si>
  <si>
    <t>Guanajuato</t>
  </si>
  <si>
    <t>Guerrero</t>
  </si>
  <si>
    <t>Hidalgo</t>
  </si>
  <si>
    <t>Jalisco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</si>
  <si>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</si>
  <si>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</si>
  <si>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</si>
  <si>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</si>
  <si>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</si>
  <si>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</si>
  <si>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</si>
  <si>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</si>
  <si>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</si>
  <si>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</si>
  <si>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</si>
  <si>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</si>
  <si>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</si>
  <si>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</si>
  <si>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</si>
  <si>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</si>
  <si>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</si>
  <si>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Cobertura de cuidados en la primera infancia</t>
  </si>
  <si>
    <t>Porcentaje de infancias de 0 a 5 años inscritos en una guardería, centro de cuidados o preescolar</t>
  </si>
  <si>
    <t>Elaborado por el IMCO con datos de los formatos 911 de la SEP, Conapo e IMSS 2025 (con datos 2024)</t>
  </si>
  <si>
    <t>Delitos sexuales</t>
  </si>
  <si>
    <t>Carpetas de investigación de delitos de acoso y hostigamiento sexual por cada 100 mil habitantes</t>
  </si>
  <si>
    <t>Tasa</t>
  </si>
  <si>
    <t>Elaborado por el IMCO con datos del Observatorio Nacional Ciudadano con datos del Secretariado Ejecutivo del Sistema Nacional de Seguridad Pública y Conapo 2024.</t>
  </si>
  <si>
    <t>Dependencia de ingresos</t>
  </si>
  <si>
    <t>Proporción de mujeres de 15 años y más que no percibe ingresos monetarios directos</t>
  </si>
  <si>
    <t>Elaborado por el IMCO con datos de la Encuesta Nacional de Ingreso y Gastos de los Hogares (ENIGH) 2024 del INEGI.</t>
  </si>
  <si>
    <t>Desigualdad en trabajo no remunerado</t>
  </si>
  <si>
    <t>Porcentaje adicional de horas semanales que dedica una mujer al TNR en comparación con un hombre</t>
  </si>
  <si>
    <t>Elaborado por el IMCO con datos de la Cuenta Satélite del Trabajo No Remunerado de los Hogares de México 2024 (con datos 2023), INEGI.</t>
  </si>
  <si>
    <t>Embarazo adolescente</t>
  </si>
  <si>
    <t>Porcentaje de nacimientos registrados de madres menores de 20 años</t>
  </si>
  <si>
    <t>Elaborado por el IMCO con datos de las Estadísticas de Natalidad 2025 (con datos de 2025), INEGI.</t>
  </si>
  <si>
    <t>Emprendedoras formales</t>
  </si>
  <si>
    <t>Porcentaje de emprendedoras en la formalidad</t>
  </si>
  <si>
    <t>Homicidios dolosos de mujeres</t>
  </si>
  <si>
    <t>Mujeres víctimas de homicidios dolosos y feminicidios por cada 100 mil mujeres</t>
  </si>
  <si>
    <t>Informalidad</t>
  </si>
  <si>
    <t>Porcentaje de mujeres ocupadas no agropecuarias en la informalidad</t>
  </si>
  <si>
    <t>Inseguridad en el transporte público</t>
  </si>
  <si>
    <t>Porcentaje de mujeres que dejaron de usar transporte público por temor a ser víctima de algún delito</t>
  </si>
  <si>
    <t>Elaborado por el IMCO con datos de la ENVIPE 2025 (con datos 2024), INEGI.</t>
  </si>
  <si>
    <t>Mujeres preparadas</t>
  </si>
  <si>
    <t>Porcentaje de mujeres de 18 años y más con al menos educación media superior</t>
  </si>
  <si>
    <t>Mujeres que quieren trabajar y no pueden</t>
  </si>
  <si>
    <t>Porcentaje de trabajadoras potenciales desocupadas, subocupadas o disponibles pero no activas en la economía</t>
  </si>
  <si>
    <t>Oferta de cuidados de adultos mayores</t>
  </si>
  <si>
    <t>Unidades de cuidados para adultos mayores por cada 100 mil habitantes de 65 años y más</t>
  </si>
  <si>
    <t>Elaborado por el IMCO con datos de la Denue del INEGI y Conapo 2024.</t>
  </si>
  <si>
    <t>Permisos de paternidad</t>
  </si>
  <si>
    <t>Días de permiso de paternidad remunerados para los trabajadores del gobierno del Estado</t>
  </si>
  <si>
    <t>Días</t>
  </si>
  <si>
    <t>Elaborado por el IMCO con datos de las Leyes del Trabajo de los Servidores Públicos al Servicio del Estado vigentes al 2024.</t>
  </si>
  <si>
    <t>Pobreza laboral</t>
  </si>
  <si>
    <t>Mujeres con ingreso laboral inferior al costo de la canasta alimentaria</t>
  </si>
  <si>
    <t>Elaborado por el IMCO con datos de México, ¿Cómo Vamos? del Índice de Tendencia Laboral de la Pobreza por Intervalo de Salarios del Coneval (3T 2024)</t>
  </si>
  <si>
    <t>Propiedad de la vivienda</t>
  </si>
  <si>
    <t>Porcentaje de mujeres con propiedad o copropiedad legal de vivienda</t>
  </si>
  <si>
    <t>Tasa de participación económica de mujeres</t>
  </si>
  <si>
    <t>Mujeres de 15 años y más que tienen un empleo o que buscan uno</t>
  </si>
  <si>
    <t>Subíndice</t>
  </si>
  <si>
    <t>Ancla</t>
  </si>
  <si>
    <t>Entrada</t>
  </si>
  <si>
    <t>Permanencia</t>
  </si>
  <si>
    <t xml:space="preserve">Autonomía económica </t>
  </si>
  <si>
    <t>&lt;</t>
  </si>
  <si>
    <t>Nombre del Indicador</t>
  </si>
  <si>
    <t>Tasa de participación económica femenina</t>
  </si>
  <si>
    <t xml:space="preserve">Emprendedoras formales </t>
  </si>
  <si>
    <t>Clave variable</t>
  </si>
  <si>
    <t>Prep</t>
  </si>
  <si>
    <t>Embarazo</t>
  </si>
  <si>
    <t>TNR</t>
  </si>
  <si>
    <t>Inseg_TP</t>
  </si>
  <si>
    <t>Homicidios</t>
  </si>
  <si>
    <t>Brecha_lab</t>
  </si>
  <si>
    <t>Brecha_ing</t>
  </si>
  <si>
    <t>Cuidados_inf</t>
  </si>
  <si>
    <t>Cuidados_adult</t>
  </si>
  <si>
    <t>Paternidad</t>
  </si>
  <si>
    <t>Del_sex</t>
  </si>
  <si>
    <t>Pob_lab</t>
  </si>
  <si>
    <t>Ind_eco</t>
  </si>
  <si>
    <t>Emp_form</t>
  </si>
  <si>
    <t>Vivienda</t>
  </si>
  <si>
    <t>Qué mide</t>
  </si>
  <si>
    <t>Carpetas de investigación de delitos de acoso y hostigamiento sexual por cada 100 mil mujeres</t>
  </si>
  <si>
    <t>Unidad de Medida</t>
  </si>
  <si>
    <t xml:space="preserve">Porcentaje </t>
  </si>
  <si>
    <t>ENOE, INEGI</t>
  </si>
  <si>
    <t>Estadísticas de Natalidad, INEGI</t>
  </si>
  <si>
    <t>Cuenta Satélite del Trabajo No Remunerado de los Hogares de México, INEGI</t>
  </si>
  <si>
    <t>ENVIPE, INEGI</t>
  </si>
  <si>
    <t>Observatorio Nacional Ciudadano con datos del Secretariado Ejecutivo del Sistema Nacional de Seguridad Pública y Conapo</t>
  </si>
  <si>
    <t>IMCO con formatos 911 de la SEP, Conapo e IMSS</t>
  </si>
  <si>
    <t>IMCO con datos Denue, INEGI y Conapo</t>
  </si>
  <si>
    <t>IMCO con Leyes del Trabajo de los Servidores Públicos al Servicio del Estado vigentes</t>
  </si>
  <si>
    <t>México, ¿Cómo Vamos? con datos del Índice de Tendencia Laboral de la Pobreza por Intervalo de Salarios del Coneval</t>
  </si>
  <si>
    <t>ENIGH, INEGI</t>
  </si>
  <si>
    <t>Año de referencia</t>
  </si>
  <si>
    <t>3T 2025</t>
  </si>
  <si>
    <t>2024 (actualiza en sept)</t>
  </si>
  <si>
    <t>Periodicidad de la fuente</t>
  </si>
  <si>
    <t>Trimestral</t>
  </si>
  <si>
    <t>Anual</t>
  </si>
  <si>
    <t xml:space="preserve">Anual </t>
  </si>
  <si>
    <t>Fecha de corte</t>
  </si>
  <si>
    <t>Bianual</t>
  </si>
  <si>
    <t>¿Más es mejor?</t>
  </si>
  <si>
    <t>Sí</t>
  </si>
  <si>
    <t>No</t>
  </si>
  <si>
    <t>Nacional</t>
  </si>
  <si>
    <t>Promedio nacional</t>
  </si>
  <si>
    <t>Coahuila de Zaragoza</t>
  </si>
  <si>
    <t>Michoacán de Ocampo</t>
  </si>
  <si>
    <t>Veracruz</t>
  </si>
  <si>
    <t>Elaborado por el IMCO con datos del 3T2025 de la Encuesta Nacional de Ocupación y Empleo (ENOE) del INEGI.</t>
  </si>
  <si>
    <t>Elaborado por el IMCO con datos del Observatorio Nacional Ciudadano con datos del Secretariado Ejecutivo del Sistema Nacional de Seguridad Pública y Conapo 2025.</t>
  </si>
  <si>
    <t>Elaborado por el IMCO con datos de la Cuenta Satélite del Trabajo No Remunerado de los Hogares de México 2025 (con datos 2024), INEGI.</t>
  </si>
  <si>
    <t>Elaborado por el IMCO con datos de las Estadísticas de Natalidad 2025 (con datos de 2024), INEGI.</t>
  </si>
  <si>
    <t>Elaborado por el IMCO con datos de la Denue del INEGI y Conapo 2025.</t>
  </si>
  <si>
    <t>Elaborado por el IMCO con datos de las Leyes del Trabajo de los Servidores Públicos al Servicio del Estado vigentes al 2026.</t>
  </si>
  <si>
    <t>Elaborado por el IMCO con datos de México, ¿Cómo Vamos? del Índice de Tendencia Laboral de la Pobreza por Intervalo de Salarios del Coneval (3T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</si>
</sst>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6" x14ac:knownFonts="1">
    <font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0"/>
      <name val="Arial"/>
      <family val="2"/>
    </font>
    <font>
      <sz val="9"/>
      <color rgb="FF000000"/>
      <name val="Calibri"/>
      <family val="2"/>
      <scheme val="minor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u/>
      <sz val="9"/>
      <color theme="7"/>
      <name val="Arial"/>
      <family val="2"/>
    </font>
    <font>
      <u/>
      <sz val="9"/>
      <color theme="0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00"/>
      <name val="Arial"/>
      <family val="2"/>
    </font>
    <font>
      <sz val="9"/>
      <color rgb="FF006100"/>
      <name val="Arial"/>
      <family val="2"/>
    </font>
    <font>
      <sz val="9"/>
      <color rgb="FF9C0006"/>
      <name val="Arial"/>
      <family val="2"/>
    </font>
    <font>
      <sz val="9"/>
      <color theme="1"/>
      <name val="Calibri"/>
      <family val="2"/>
      <scheme val="minor"/>
    </font>
    <font>
      <sz val="9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797FFB"/>
        <bgColor rgb="FF797FFB"/>
      </patternFill>
    </fill>
    <fill>
      <patternFill patternType="solid">
        <fgColor rgb="FFBABDFF"/>
        <bgColor rgb="FFBABD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4" fillId="0" borderId="0" xfId="0" applyFont="1"/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 wrapText="1"/>
    </xf>
    <xf numFmtId="164" fontId="1" fillId="10" borderId="0" xfId="0" applyNumberFormat="1" applyFont="1" applyFill="1" applyAlignment="1">
      <alignment horizontal="center" vertical="center" wrapText="1"/>
    </xf>
    <xf numFmtId="164" fontId="6" fillId="10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/>
    </xf>
    <xf numFmtId="164" fontId="1" fillId="10" borderId="0" xfId="0" applyNumberFormat="1" applyFont="1" applyFill="1" applyAlignment="1">
      <alignment horizontal="center" vertical="center"/>
    </xf>
    <xf numFmtId="1" fontId="6" fillId="10" borderId="0" xfId="0" applyNumberFormat="1" applyFont="1" applyFill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 vertical="center" wrapText="1"/>
    </xf>
    <xf numFmtId="164" fontId="10" fillId="2" borderId="0" xfId="0" applyNumberFormat="1" applyFont="1" applyFill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164" fontId="11" fillId="0" borderId="0" xfId="0" applyNumberFormat="1" applyFont="1" applyAlignment="1">
      <alignment horizontal="center" vertical="center" wrapText="1"/>
    </xf>
    <xf numFmtId="16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/>
    <xf numFmtId="164" fontId="9" fillId="0" borderId="0" xfId="0" applyNumberFormat="1" applyFont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8D9E0B-6C92-4A14-8A9E-2DF51F5F4513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3853962-1313-423d-9b44-01b5a5210e7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45"/>
  <sheetViews>
    <sheetView topLeftCell="A415" workbookViewId="0"/>
  </sheetViews>
  <sheetFormatPr baseColWidth="10" defaultRowHeight="15.6" x14ac:dyDescent="0.3"/>
  <cols>
    <col min="1" max="1" width="31.796875" customWidth="1"/>
    <col min="2" max="2" width="44.796875" customWidth="1"/>
    <col min="3" max="3" width="12.796875" customWidth="1"/>
    <col min="4" max="4" width="145.796875" customWidth="1"/>
    <col min="5" max="5" width="10.796875" customWidth="1"/>
    <col min="6" max="6" width="161.796875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7</v>
      </c>
      <c r="B2" t="s">
        <v>8</v>
      </c>
      <c r="C2">
        <v>14.72013945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8</v>
      </c>
      <c r="C3">
        <v>14.88374831</v>
      </c>
      <c r="D3" t="s">
        <v>9</v>
      </c>
      <c r="E3" t="s">
        <v>10</v>
      </c>
      <c r="F3" t="s">
        <v>11</v>
      </c>
    </row>
    <row r="4" spans="1:6" x14ac:dyDescent="0.3">
      <c r="A4" t="s">
        <v>13</v>
      </c>
      <c r="B4" t="s">
        <v>8</v>
      </c>
      <c r="C4">
        <v>13.27531688</v>
      </c>
      <c r="D4" t="s">
        <v>9</v>
      </c>
      <c r="E4" t="s">
        <v>10</v>
      </c>
      <c r="F4" t="s">
        <v>11</v>
      </c>
    </row>
    <row r="5" spans="1:6" x14ac:dyDescent="0.3">
      <c r="A5" t="s">
        <v>14</v>
      </c>
      <c r="B5" t="s">
        <v>8</v>
      </c>
      <c r="C5">
        <v>6.5688031090000001</v>
      </c>
      <c r="D5" t="s">
        <v>9</v>
      </c>
      <c r="E5" t="s">
        <v>10</v>
      </c>
      <c r="F5" t="s">
        <v>11</v>
      </c>
    </row>
    <row r="6" spans="1:6" x14ac:dyDescent="0.3">
      <c r="A6" t="s">
        <v>15</v>
      </c>
      <c r="B6" t="s">
        <v>8</v>
      </c>
      <c r="C6">
        <v>4.6652654220000001</v>
      </c>
      <c r="D6" t="s">
        <v>9</v>
      </c>
      <c r="E6" t="s">
        <v>10</v>
      </c>
      <c r="F6" t="s">
        <v>11</v>
      </c>
    </row>
    <row r="7" spans="1:6" x14ac:dyDescent="0.3">
      <c r="A7" t="s">
        <v>16</v>
      </c>
      <c r="B7" t="s">
        <v>8</v>
      </c>
      <c r="C7">
        <v>14.7883251</v>
      </c>
      <c r="D7" t="s">
        <v>9</v>
      </c>
      <c r="E7" t="s">
        <v>10</v>
      </c>
      <c r="F7" t="s">
        <v>11</v>
      </c>
    </row>
    <row r="8" spans="1:6" x14ac:dyDescent="0.3">
      <c r="A8" t="s">
        <v>17</v>
      </c>
      <c r="B8" t="s">
        <v>8</v>
      </c>
      <c r="C8">
        <v>9.5998724709999994</v>
      </c>
      <c r="D8" t="s">
        <v>9</v>
      </c>
      <c r="E8" t="s">
        <v>10</v>
      </c>
      <c r="F8" t="s">
        <v>11</v>
      </c>
    </row>
    <row r="9" spans="1:6" x14ac:dyDescent="0.3">
      <c r="A9" t="s">
        <v>18</v>
      </c>
      <c r="B9" t="s">
        <v>8</v>
      </c>
      <c r="C9">
        <v>17.773609180000001</v>
      </c>
      <c r="D9" t="s">
        <v>9</v>
      </c>
      <c r="E9" t="s">
        <v>10</v>
      </c>
      <c r="F9" t="s">
        <v>11</v>
      </c>
    </row>
    <row r="10" spans="1:6" x14ac:dyDescent="0.3">
      <c r="A10" t="s">
        <v>19</v>
      </c>
      <c r="B10" t="s">
        <v>8</v>
      </c>
      <c r="C10">
        <v>18.919593809999999</v>
      </c>
      <c r="D10" t="s">
        <v>9</v>
      </c>
      <c r="E10" t="s">
        <v>10</v>
      </c>
      <c r="F10" t="s">
        <v>11</v>
      </c>
    </row>
    <row r="11" spans="1:6" x14ac:dyDescent="0.3">
      <c r="A11" t="s">
        <v>20</v>
      </c>
      <c r="B11" t="s">
        <v>8</v>
      </c>
      <c r="C11">
        <v>15.28183288</v>
      </c>
      <c r="D11" t="s">
        <v>9</v>
      </c>
      <c r="E11" t="s">
        <v>10</v>
      </c>
      <c r="F11" t="s">
        <v>11</v>
      </c>
    </row>
    <row r="12" spans="1:6" x14ac:dyDescent="0.3">
      <c r="A12" t="s">
        <v>21</v>
      </c>
      <c r="B12" t="s">
        <v>8</v>
      </c>
      <c r="C12">
        <v>16.850929709999999</v>
      </c>
      <c r="D12" t="s">
        <v>9</v>
      </c>
      <c r="E12" t="s">
        <v>10</v>
      </c>
      <c r="F12" t="s">
        <v>11</v>
      </c>
    </row>
    <row r="13" spans="1:6" x14ac:dyDescent="0.3">
      <c r="A13" t="s">
        <v>22</v>
      </c>
      <c r="B13" t="s">
        <v>8</v>
      </c>
      <c r="C13">
        <v>23.017351850000001</v>
      </c>
      <c r="D13" t="s">
        <v>9</v>
      </c>
      <c r="E13" t="s">
        <v>10</v>
      </c>
      <c r="F13" t="s">
        <v>11</v>
      </c>
    </row>
    <row r="14" spans="1:6" x14ac:dyDescent="0.3">
      <c r="A14" t="s">
        <v>23</v>
      </c>
      <c r="B14" t="s">
        <v>8</v>
      </c>
      <c r="C14">
        <v>20.343872789999999</v>
      </c>
      <c r="D14" t="s">
        <v>9</v>
      </c>
      <c r="E14" t="s">
        <v>10</v>
      </c>
      <c r="F14" t="s">
        <v>11</v>
      </c>
    </row>
    <row r="15" spans="1:6" x14ac:dyDescent="0.3">
      <c r="A15" t="s">
        <v>24</v>
      </c>
      <c r="B15" t="s">
        <v>8</v>
      </c>
      <c r="C15">
        <v>16.33388733</v>
      </c>
      <c r="D15" t="s">
        <v>9</v>
      </c>
      <c r="E15" t="s">
        <v>10</v>
      </c>
      <c r="F15" t="s">
        <v>11</v>
      </c>
    </row>
    <row r="16" spans="1:6" x14ac:dyDescent="0.3">
      <c r="A16" t="s">
        <v>25</v>
      </c>
      <c r="B16" t="s">
        <v>8</v>
      </c>
      <c r="C16">
        <v>18.035476840000001</v>
      </c>
      <c r="D16" t="s">
        <v>9</v>
      </c>
      <c r="E16" t="s">
        <v>10</v>
      </c>
      <c r="F16" t="s">
        <v>11</v>
      </c>
    </row>
    <row r="17" spans="1:6" x14ac:dyDescent="0.3">
      <c r="A17" t="s">
        <v>26</v>
      </c>
      <c r="B17" t="s">
        <v>8</v>
      </c>
      <c r="C17">
        <v>20.95628408</v>
      </c>
      <c r="D17" t="s">
        <v>9</v>
      </c>
      <c r="E17" t="s">
        <v>10</v>
      </c>
      <c r="F17" t="s">
        <v>11</v>
      </c>
    </row>
    <row r="18" spans="1:6" x14ac:dyDescent="0.3">
      <c r="A18" t="s">
        <v>0</v>
      </c>
      <c r="B18" t="s">
        <v>8</v>
      </c>
      <c r="C18">
        <v>11.173903449999999</v>
      </c>
      <c r="D18" t="s">
        <v>9</v>
      </c>
      <c r="E18" t="s">
        <v>10</v>
      </c>
      <c r="F18" t="s">
        <v>11</v>
      </c>
    </row>
    <row r="19" spans="1:6" x14ac:dyDescent="0.3">
      <c r="A19" t="s">
        <v>27</v>
      </c>
      <c r="B19" t="s">
        <v>8</v>
      </c>
      <c r="C19">
        <v>16.911087259999999</v>
      </c>
      <c r="D19" t="s">
        <v>9</v>
      </c>
      <c r="E19" t="s">
        <v>10</v>
      </c>
      <c r="F19" t="s">
        <v>11</v>
      </c>
    </row>
    <row r="20" spans="1:6" x14ac:dyDescent="0.3">
      <c r="A20" t="s">
        <v>28</v>
      </c>
      <c r="B20" t="s">
        <v>8</v>
      </c>
      <c r="C20">
        <v>13.58855423</v>
      </c>
      <c r="D20" t="s">
        <v>9</v>
      </c>
      <c r="E20" t="s">
        <v>10</v>
      </c>
      <c r="F20" t="s">
        <v>11</v>
      </c>
    </row>
    <row r="21" spans="1:6" x14ac:dyDescent="0.3">
      <c r="A21" t="s">
        <v>29</v>
      </c>
      <c r="B21" t="s">
        <v>8</v>
      </c>
      <c r="C21">
        <v>19.72168718</v>
      </c>
      <c r="D21" t="s">
        <v>9</v>
      </c>
      <c r="E21" t="s">
        <v>10</v>
      </c>
      <c r="F21" t="s">
        <v>11</v>
      </c>
    </row>
    <row r="22" spans="1:6" x14ac:dyDescent="0.3">
      <c r="A22" t="s">
        <v>30</v>
      </c>
      <c r="B22" t="s">
        <v>8</v>
      </c>
      <c r="C22">
        <v>13.140069220000001</v>
      </c>
      <c r="D22" t="s">
        <v>9</v>
      </c>
      <c r="E22" t="s">
        <v>10</v>
      </c>
      <c r="F22" t="s">
        <v>11</v>
      </c>
    </row>
    <row r="23" spans="1:6" x14ac:dyDescent="0.3">
      <c r="A23" t="s">
        <v>31</v>
      </c>
      <c r="B23" t="s">
        <v>8</v>
      </c>
      <c r="C23">
        <v>19.562254830000001</v>
      </c>
      <c r="D23" t="s">
        <v>9</v>
      </c>
      <c r="E23" t="s">
        <v>10</v>
      </c>
      <c r="F23" t="s">
        <v>11</v>
      </c>
    </row>
    <row r="24" spans="1:6" x14ac:dyDescent="0.3">
      <c r="A24" t="s">
        <v>32</v>
      </c>
      <c r="B24" t="s">
        <v>8</v>
      </c>
      <c r="C24">
        <v>13.740208669999999</v>
      </c>
      <c r="D24" t="s">
        <v>9</v>
      </c>
      <c r="E24" t="s">
        <v>10</v>
      </c>
      <c r="F24" t="s">
        <v>11</v>
      </c>
    </row>
    <row r="25" spans="1:6" x14ac:dyDescent="0.3">
      <c r="A25" t="s">
        <v>33</v>
      </c>
      <c r="B25" t="s">
        <v>8</v>
      </c>
      <c r="C25">
        <v>12.95482982</v>
      </c>
      <c r="D25" t="s">
        <v>9</v>
      </c>
      <c r="E25" t="s">
        <v>10</v>
      </c>
      <c r="F25" t="s">
        <v>11</v>
      </c>
    </row>
    <row r="26" spans="1:6" x14ac:dyDescent="0.3">
      <c r="A26" t="s">
        <v>34</v>
      </c>
      <c r="B26" t="s">
        <v>8</v>
      </c>
      <c r="C26">
        <v>21.297305510000001</v>
      </c>
      <c r="D26" t="s">
        <v>9</v>
      </c>
      <c r="E26" t="s">
        <v>10</v>
      </c>
      <c r="F26" t="s">
        <v>11</v>
      </c>
    </row>
    <row r="27" spans="1:6" x14ac:dyDescent="0.3">
      <c r="A27" t="s">
        <v>35</v>
      </c>
      <c r="B27" t="s">
        <v>8</v>
      </c>
      <c r="C27">
        <v>15.815026359999999</v>
      </c>
      <c r="D27" t="s">
        <v>9</v>
      </c>
      <c r="E27" t="s">
        <v>10</v>
      </c>
      <c r="F27" t="s">
        <v>11</v>
      </c>
    </row>
    <row r="28" spans="1:6" x14ac:dyDescent="0.3">
      <c r="A28" t="s">
        <v>36</v>
      </c>
      <c r="B28" t="s">
        <v>8</v>
      </c>
      <c r="C28">
        <v>7.1976149600000001</v>
      </c>
      <c r="D28" t="s">
        <v>9</v>
      </c>
      <c r="E28" t="s">
        <v>10</v>
      </c>
      <c r="F28" t="s">
        <v>11</v>
      </c>
    </row>
    <row r="29" spans="1:6" x14ac:dyDescent="0.3">
      <c r="A29" t="s">
        <v>37</v>
      </c>
      <c r="B29" t="s">
        <v>8</v>
      </c>
      <c r="C29">
        <v>16.43774822</v>
      </c>
      <c r="D29" t="s">
        <v>9</v>
      </c>
      <c r="E29" t="s">
        <v>10</v>
      </c>
      <c r="F29" t="s">
        <v>11</v>
      </c>
    </row>
    <row r="30" spans="1:6" x14ac:dyDescent="0.3">
      <c r="A30" t="s">
        <v>38</v>
      </c>
      <c r="B30" t="s">
        <v>8</v>
      </c>
      <c r="C30">
        <v>18.04913616</v>
      </c>
      <c r="D30" t="s">
        <v>9</v>
      </c>
      <c r="E30" t="s">
        <v>10</v>
      </c>
      <c r="F30" t="s">
        <v>11</v>
      </c>
    </row>
    <row r="31" spans="1:6" x14ac:dyDescent="0.3">
      <c r="A31" t="s">
        <v>39</v>
      </c>
      <c r="B31" t="s">
        <v>8</v>
      </c>
      <c r="C31">
        <v>9.6804436599999999</v>
      </c>
      <c r="D31" t="s">
        <v>9</v>
      </c>
      <c r="E31" t="s">
        <v>10</v>
      </c>
      <c r="F31" t="s">
        <v>11</v>
      </c>
    </row>
    <row r="32" spans="1:6" x14ac:dyDescent="0.3">
      <c r="A32" t="s">
        <v>40</v>
      </c>
      <c r="B32" t="s">
        <v>8</v>
      </c>
      <c r="C32">
        <v>12.526264510000001</v>
      </c>
      <c r="D32" t="s">
        <v>9</v>
      </c>
      <c r="E32" t="s">
        <v>10</v>
      </c>
      <c r="F32" t="s">
        <v>11</v>
      </c>
    </row>
    <row r="33" spans="1:6" x14ac:dyDescent="0.3">
      <c r="A33" t="s">
        <v>41</v>
      </c>
      <c r="B33" t="s">
        <v>8</v>
      </c>
      <c r="C33">
        <v>15.590521150000001</v>
      </c>
      <c r="D33" t="s">
        <v>9</v>
      </c>
      <c r="E33" t="s">
        <v>10</v>
      </c>
      <c r="F33" t="s">
        <v>11</v>
      </c>
    </row>
    <row r="34" spans="1:6" x14ac:dyDescent="0.3">
      <c r="A34" t="s">
        <v>7</v>
      </c>
      <c r="B34" t="s">
        <v>42</v>
      </c>
      <c r="C34">
        <v>40.097818799999999</v>
      </c>
      <c r="D34" t="s">
        <v>43</v>
      </c>
      <c r="E34" t="s">
        <v>10</v>
      </c>
      <c r="F34" t="s">
        <v>44</v>
      </c>
    </row>
    <row r="35" spans="1:6" x14ac:dyDescent="0.3">
      <c r="A35" t="s">
        <v>12</v>
      </c>
      <c r="B35" t="s">
        <v>42</v>
      </c>
      <c r="C35">
        <v>33.946358080000003</v>
      </c>
      <c r="D35" t="s">
        <v>43</v>
      </c>
      <c r="E35" t="s">
        <v>10</v>
      </c>
      <c r="F35" t="s">
        <v>44</v>
      </c>
    </row>
    <row r="36" spans="1:6" x14ac:dyDescent="0.3">
      <c r="A36" t="s">
        <v>13</v>
      </c>
      <c r="B36" t="s">
        <v>42</v>
      </c>
      <c r="C36">
        <v>37.128527579999997</v>
      </c>
      <c r="D36" t="s">
        <v>43</v>
      </c>
      <c r="E36" t="s">
        <v>10</v>
      </c>
      <c r="F36" t="s">
        <v>44</v>
      </c>
    </row>
    <row r="37" spans="1:6" x14ac:dyDescent="0.3">
      <c r="A37" t="s">
        <v>14</v>
      </c>
      <c r="B37" t="s">
        <v>42</v>
      </c>
      <c r="C37">
        <v>42.467802630000001</v>
      </c>
      <c r="D37" t="s">
        <v>43</v>
      </c>
      <c r="E37" t="s">
        <v>10</v>
      </c>
      <c r="F37" t="s">
        <v>44</v>
      </c>
    </row>
    <row r="38" spans="1:6" x14ac:dyDescent="0.3">
      <c r="A38" t="s">
        <v>15</v>
      </c>
      <c r="B38" t="s">
        <v>42</v>
      </c>
      <c r="C38">
        <v>36.820917229999999</v>
      </c>
      <c r="D38" t="s">
        <v>43</v>
      </c>
      <c r="E38" t="s">
        <v>10</v>
      </c>
      <c r="F38" t="s">
        <v>44</v>
      </c>
    </row>
    <row r="39" spans="1:6" x14ac:dyDescent="0.3">
      <c r="A39" t="s">
        <v>16</v>
      </c>
      <c r="B39" t="s">
        <v>42</v>
      </c>
      <c r="C39">
        <v>38.376757810000001</v>
      </c>
      <c r="D39" t="s">
        <v>43</v>
      </c>
      <c r="E39" t="s">
        <v>10</v>
      </c>
      <c r="F39" t="s">
        <v>44</v>
      </c>
    </row>
    <row r="40" spans="1:6" x14ac:dyDescent="0.3">
      <c r="A40" t="s">
        <v>17</v>
      </c>
      <c r="B40" t="s">
        <v>42</v>
      </c>
      <c r="C40">
        <v>43.796329919999998</v>
      </c>
      <c r="D40" t="s">
        <v>43</v>
      </c>
      <c r="E40" t="s">
        <v>10</v>
      </c>
      <c r="F40" t="s">
        <v>44</v>
      </c>
    </row>
    <row r="41" spans="1:6" x14ac:dyDescent="0.3">
      <c r="A41" t="s">
        <v>18</v>
      </c>
      <c r="B41" t="s">
        <v>42</v>
      </c>
      <c r="C41">
        <v>44.574509140000004</v>
      </c>
      <c r="D41" t="s">
        <v>43</v>
      </c>
      <c r="E41" t="s">
        <v>10</v>
      </c>
      <c r="F41" t="s">
        <v>44</v>
      </c>
    </row>
    <row r="42" spans="1:6" x14ac:dyDescent="0.3">
      <c r="A42" t="s">
        <v>19</v>
      </c>
      <c r="B42" t="s">
        <v>42</v>
      </c>
      <c r="C42">
        <v>47.907459490000001</v>
      </c>
      <c r="D42" t="s">
        <v>43</v>
      </c>
      <c r="E42" t="s">
        <v>10</v>
      </c>
      <c r="F42" t="s">
        <v>44</v>
      </c>
    </row>
    <row r="43" spans="1:6" x14ac:dyDescent="0.3">
      <c r="A43" t="s">
        <v>20</v>
      </c>
      <c r="B43" t="s">
        <v>42</v>
      </c>
      <c r="C43">
        <v>39.229684140000003</v>
      </c>
      <c r="D43" t="s">
        <v>43</v>
      </c>
      <c r="E43" t="s">
        <v>10</v>
      </c>
      <c r="F43" t="s">
        <v>44</v>
      </c>
    </row>
    <row r="44" spans="1:6" x14ac:dyDescent="0.3">
      <c r="A44" t="s">
        <v>21</v>
      </c>
      <c r="B44" t="s">
        <v>42</v>
      </c>
      <c r="C44">
        <v>37.992468690000003</v>
      </c>
      <c r="D44" t="s">
        <v>43</v>
      </c>
      <c r="E44" t="s">
        <v>10</v>
      </c>
      <c r="F44" t="s">
        <v>44</v>
      </c>
    </row>
    <row r="45" spans="1:6" x14ac:dyDescent="0.3">
      <c r="A45" t="s">
        <v>22</v>
      </c>
      <c r="B45" t="s">
        <v>42</v>
      </c>
      <c r="C45">
        <v>41.44512443</v>
      </c>
      <c r="D45" t="s">
        <v>43</v>
      </c>
      <c r="E45" t="s">
        <v>10</v>
      </c>
      <c r="F45" t="s">
        <v>44</v>
      </c>
    </row>
    <row r="46" spans="1:6" x14ac:dyDescent="0.3">
      <c r="A46" t="s">
        <v>23</v>
      </c>
      <c r="B46" t="s">
        <v>42</v>
      </c>
      <c r="C46">
        <v>37.296998940000002</v>
      </c>
      <c r="D46" t="s">
        <v>43</v>
      </c>
      <c r="E46" t="s">
        <v>10</v>
      </c>
      <c r="F46" t="s">
        <v>44</v>
      </c>
    </row>
    <row r="47" spans="1:6" x14ac:dyDescent="0.3">
      <c r="A47" t="s">
        <v>24</v>
      </c>
      <c r="B47" t="s">
        <v>42</v>
      </c>
      <c r="C47">
        <v>36.335927580000003</v>
      </c>
      <c r="D47" t="s">
        <v>43</v>
      </c>
      <c r="E47" t="s">
        <v>10</v>
      </c>
      <c r="F47" t="s">
        <v>44</v>
      </c>
    </row>
    <row r="48" spans="1:6" x14ac:dyDescent="0.3">
      <c r="A48" t="s">
        <v>25</v>
      </c>
      <c r="B48" t="s">
        <v>42</v>
      </c>
      <c r="C48">
        <v>36.936083889999999</v>
      </c>
      <c r="D48" t="s">
        <v>43</v>
      </c>
      <c r="E48" t="s">
        <v>10</v>
      </c>
      <c r="F48" t="s">
        <v>44</v>
      </c>
    </row>
    <row r="49" spans="1:6" x14ac:dyDescent="0.3">
      <c r="A49" t="s">
        <v>26</v>
      </c>
      <c r="B49" t="s">
        <v>42</v>
      </c>
      <c r="C49">
        <v>37.386690889999997</v>
      </c>
      <c r="D49" t="s">
        <v>43</v>
      </c>
      <c r="E49" t="s">
        <v>10</v>
      </c>
      <c r="F49" t="s">
        <v>44</v>
      </c>
    </row>
    <row r="50" spans="1:6" x14ac:dyDescent="0.3">
      <c r="A50" t="s">
        <v>0</v>
      </c>
      <c r="B50" t="s">
        <v>42</v>
      </c>
      <c r="C50">
        <v>32.064141999999997</v>
      </c>
      <c r="D50" t="s">
        <v>43</v>
      </c>
      <c r="E50" t="s">
        <v>10</v>
      </c>
      <c r="F50" t="s">
        <v>44</v>
      </c>
    </row>
    <row r="51" spans="1:6" x14ac:dyDescent="0.3">
      <c r="A51" t="s">
        <v>27</v>
      </c>
      <c r="B51" t="s">
        <v>42</v>
      </c>
      <c r="C51">
        <v>41.07487785</v>
      </c>
      <c r="D51" t="s">
        <v>43</v>
      </c>
      <c r="E51" t="s">
        <v>10</v>
      </c>
      <c r="F51" t="s">
        <v>44</v>
      </c>
    </row>
    <row r="52" spans="1:6" x14ac:dyDescent="0.3">
      <c r="A52" t="s">
        <v>28</v>
      </c>
      <c r="B52" t="s">
        <v>42</v>
      </c>
      <c r="C52">
        <v>36.047092249999999</v>
      </c>
      <c r="D52" t="s">
        <v>43</v>
      </c>
      <c r="E52" t="s">
        <v>10</v>
      </c>
      <c r="F52" t="s">
        <v>44</v>
      </c>
    </row>
    <row r="53" spans="1:6" x14ac:dyDescent="0.3">
      <c r="A53" t="s">
        <v>29</v>
      </c>
      <c r="B53" t="s">
        <v>42</v>
      </c>
      <c r="C53">
        <v>42.201137019999997</v>
      </c>
      <c r="D53" t="s">
        <v>43</v>
      </c>
      <c r="E53" t="s">
        <v>10</v>
      </c>
      <c r="F53" t="s">
        <v>44</v>
      </c>
    </row>
    <row r="54" spans="1:6" x14ac:dyDescent="0.3">
      <c r="A54" t="s">
        <v>30</v>
      </c>
      <c r="B54" t="s">
        <v>42</v>
      </c>
      <c r="C54">
        <v>36.012698499999999</v>
      </c>
      <c r="D54" t="s">
        <v>43</v>
      </c>
      <c r="E54" t="s">
        <v>10</v>
      </c>
      <c r="F54" t="s">
        <v>44</v>
      </c>
    </row>
    <row r="55" spans="1:6" x14ac:dyDescent="0.3">
      <c r="A55" t="s">
        <v>31</v>
      </c>
      <c r="B55" t="s">
        <v>42</v>
      </c>
      <c r="C55">
        <v>37.126364430000002</v>
      </c>
      <c r="D55" t="s">
        <v>43</v>
      </c>
      <c r="E55" t="s">
        <v>10</v>
      </c>
      <c r="F55" t="s">
        <v>44</v>
      </c>
    </row>
    <row r="56" spans="1:6" x14ac:dyDescent="0.3">
      <c r="A56" t="s">
        <v>32</v>
      </c>
      <c r="B56" t="s">
        <v>42</v>
      </c>
      <c r="C56">
        <v>29.823885010000001</v>
      </c>
      <c r="D56" t="s">
        <v>43</v>
      </c>
      <c r="E56" t="s">
        <v>10</v>
      </c>
      <c r="F56" t="s">
        <v>44</v>
      </c>
    </row>
    <row r="57" spans="1:6" x14ac:dyDescent="0.3">
      <c r="A57" t="s">
        <v>33</v>
      </c>
      <c r="B57" t="s">
        <v>42</v>
      </c>
      <c r="C57">
        <v>43.291547639999997</v>
      </c>
      <c r="D57" t="s">
        <v>43</v>
      </c>
      <c r="E57" t="s">
        <v>10</v>
      </c>
      <c r="F57" t="s">
        <v>44</v>
      </c>
    </row>
    <row r="58" spans="1:6" x14ac:dyDescent="0.3">
      <c r="A58" t="s">
        <v>34</v>
      </c>
      <c r="B58" t="s">
        <v>42</v>
      </c>
      <c r="C58">
        <v>45.706779099999999</v>
      </c>
      <c r="D58" t="s">
        <v>43</v>
      </c>
      <c r="E58" t="s">
        <v>10</v>
      </c>
      <c r="F58" t="s">
        <v>44</v>
      </c>
    </row>
    <row r="59" spans="1:6" x14ac:dyDescent="0.3">
      <c r="A59" t="s">
        <v>35</v>
      </c>
      <c r="B59" t="s">
        <v>42</v>
      </c>
      <c r="C59">
        <v>40.004001950000003</v>
      </c>
      <c r="D59" t="s">
        <v>43</v>
      </c>
      <c r="E59" t="s">
        <v>10</v>
      </c>
      <c r="F59" t="s">
        <v>44</v>
      </c>
    </row>
    <row r="60" spans="1:6" x14ac:dyDescent="0.3">
      <c r="A60" t="s">
        <v>36</v>
      </c>
      <c r="B60" t="s">
        <v>42</v>
      </c>
      <c r="C60">
        <v>46.391190020000003</v>
      </c>
      <c r="D60" t="s">
        <v>43</v>
      </c>
      <c r="E60" t="s">
        <v>10</v>
      </c>
      <c r="F60" t="s">
        <v>44</v>
      </c>
    </row>
    <row r="61" spans="1:6" x14ac:dyDescent="0.3">
      <c r="A61" t="s">
        <v>37</v>
      </c>
      <c r="B61" t="s">
        <v>42</v>
      </c>
      <c r="C61">
        <v>36.862123910000001</v>
      </c>
      <c r="D61" t="s">
        <v>43</v>
      </c>
      <c r="E61" t="s">
        <v>10</v>
      </c>
      <c r="F61" t="s">
        <v>44</v>
      </c>
    </row>
    <row r="62" spans="1:6" x14ac:dyDescent="0.3">
      <c r="A62" t="s">
        <v>38</v>
      </c>
      <c r="B62" t="s">
        <v>42</v>
      </c>
      <c r="C62">
        <v>34.55542647</v>
      </c>
      <c r="D62" t="s">
        <v>43</v>
      </c>
      <c r="E62" t="s">
        <v>10</v>
      </c>
      <c r="F62" t="s">
        <v>44</v>
      </c>
    </row>
    <row r="63" spans="1:6" x14ac:dyDescent="0.3">
      <c r="A63" t="s">
        <v>39</v>
      </c>
      <c r="B63" t="s">
        <v>42</v>
      </c>
      <c r="C63">
        <v>33.636320609999999</v>
      </c>
      <c r="D63" t="s">
        <v>43</v>
      </c>
      <c r="E63" t="s">
        <v>10</v>
      </c>
      <c r="F63" t="s">
        <v>44</v>
      </c>
    </row>
    <row r="64" spans="1:6" x14ac:dyDescent="0.3">
      <c r="A64" t="s">
        <v>40</v>
      </c>
      <c r="B64" t="s">
        <v>42</v>
      </c>
      <c r="C64">
        <v>42.111660280000002</v>
      </c>
      <c r="D64" t="s">
        <v>43</v>
      </c>
      <c r="E64" t="s">
        <v>10</v>
      </c>
      <c r="F64" t="s">
        <v>44</v>
      </c>
    </row>
    <row r="65" spans="1:6" x14ac:dyDescent="0.3">
      <c r="A65" t="s">
        <v>41</v>
      </c>
      <c r="B65" t="s">
        <v>42</v>
      </c>
      <c r="C65">
        <v>41.113450020000002</v>
      </c>
      <c r="D65" t="s">
        <v>43</v>
      </c>
      <c r="E65" t="s">
        <v>10</v>
      </c>
      <c r="F65" t="s">
        <v>44</v>
      </c>
    </row>
    <row r="66" spans="1:6" x14ac:dyDescent="0.3">
      <c r="A66" t="s">
        <v>7</v>
      </c>
      <c r="B66" t="s">
        <v>45</v>
      </c>
      <c r="C66">
        <v>19.482958180000001</v>
      </c>
      <c r="D66" t="s">
        <v>46</v>
      </c>
      <c r="E66" t="s">
        <v>47</v>
      </c>
      <c r="F66" t="s">
        <v>48</v>
      </c>
    </row>
    <row r="67" spans="1:6" x14ac:dyDescent="0.3">
      <c r="A67" t="s">
        <v>12</v>
      </c>
      <c r="B67" t="s">
        <v>45</v>
      </c>
      <c r="C67">
        <v>87.762383349999993</v>
      </c>
      <c r="D67" t="s">
        <v>46</v>
      </c>
      <c r="E67" t="s">
        <v>47</v>
      </c>
      <c r="F67" t="s">
        <v>48</v>
      </c>
    </row>
    <row r="68" spans="1:6" x14ac:dyDescent="0.3">
      <c r="A68" t="s">
        <v>13</v>
      </c>
      <c r="B68" t="s">
        <v>45</v>
      </c>
      <c r="C68">
        <v>46.31219024</v>
      </c>
      <c r="D68" t="s">
        <v>46</v>
      </c>
      <c r="E68" t="s">
        <v>47</v>
      </c>
      <c r="F68" t="s">
        <v>48</v>
      </c>
    </row>
    <row r="69" spans="1:6" x14ac:dyDescent="0.3">
      <c r="A69" t="s">
        <v>14</v>
      </c>
      <c r="B69" t="s">
        <v>45</v>
      </c>
      <c r="C69">
        <v>10.29219543</v>
      </c>
      <c r="D69" t="s">
        <v>46</v>
      </c>
      <c r="E69" t="s">
        <v>47</v>
      </c>
      <c r="F69" t="s">
        <v>48</v>
      </c>
    </row>
    <row r="70" spans="1:6" x14ac:dyDescent="0.3">
      <c r="A70" t="s">
        <v>15</v>
      </c>
      <c r="B70" t="s">
        <v>45</v>
      </c>
      <c r="C70">
        <v>4.247895508</v>
      </c>
      <c r="D70" t="s">
        <v>46</v>
      </c>
      <c r="E70" t="s">
        <v>47</v>
      </c>
      <c r="F70" t="s">
        <v>48</v>
      </c>
    </row>
    <row r="71" spans="1:6" x14ac:dyDescent="0.3">
      <c r="A71" t="s">
        <v>16</v>
      </c>
      <c r="B71" t="s">
        <v>45</v>
      </c>
      <c r="C71">
        <v>22.585308260000001</v>
      </c>
      <c r="D71" t="s">
        <v>46</v>
      </c>
      <c r="E71" t="s">
        <v>47</v>
      </c>
      <c r="F71" t="s">
        <v>48</v>
      </c>
    </row>
    <row r="72" spans="1:6" x14ac:dyDescent="0.3">
      <c r="A72" t="s">
        <v>17</v>
      </c>
      <c r="B72" t="s">
        <v>45</v>
      </c>
      <c r="C72">
        <v>31.91035029</v>
      </c>
      <c r="D72" t="s">
        <v>46</v>
      </c>
      <c r="E72" t="s">
        <v>47</v>
      </c>
      <c r="F72" t="s">
        <v>48</v>
      </c>
    </row>
    <row r="73" spans="1:6" x14ac:dyDescent="0.3">
      <c r="A73" t="s">
        <v>18</v>
      </c>
      <c r="B73" t="s">
        <v>45</v>
      </c>
      <c r="C73">
        <v>30.907620099999999</v>
      </c>
      <c r="D73" t="s">
        <v>46</v>
      </c>
      <c r="E73" t="s">
        <v>47</v>
      </c>
      <c r="F73" t="s">
        <v>48</v>
      </c>
    </row>
    <row r="74" spans="1:6" x14ac:dyDescent="0.3">
      <c r="A74" t="s">
        <v>19</v>
      </c>
      <c r="B74" t="s">
        <v>45</v>
      </c>
      <c r="C74">
        <v>36.63079793</v>
      </c>
      <c r="D74" t="s">
        <v>46</v>
      </c>
      <c r="E74" t="s">
        <v>47</v>
      </c>
      <c r="F74" t="s">
        <v>48</v>
      </c>
    </row>
    <row r="75" spans="1:6" x14ac:dyDescent="0.3">
      <c r="A75" t="s">
        <v>20</v>
      </c>
      <c r="B75" t="s">
        <v>45</v>
      </c>
      <c r="C75">
        <v>12.015570520000001</v>
      </c>
      <c r="D75" t="s">
        <v>46</v>
      </c>
      <c r="E75" t="s">
        <v>47</v>
      </c>
      <c r="F75" t="s">
        <v>48</v>
      </c>
    </row>
    <row r="76" spans="1:6" x14ac:dyDescent="0.3">
      <c r="A76" t="s">
        <v>21</v>
      </c>
      <c r="B76" t="s">
        <v>45</v>
      </c>
      <c r="C76">
        <v>14.64748047</v>
      </c>
      <c r="D76" t="s">
        <v>46</v>
      </c>
      <c r="E76" t="s">
        <v>47</v>
      </c>
      <c r="F76" t="s">
        <v>48</v>
      </c>
    </row>
    <row r="77" spans="1:6" x14ac:dyDescent="0.3">
      <c r="A77" t="s">
        <v>22</v>
      </c>
      <c r="B77" t="s">
        <v>45</v>
      </c>
      <c r="C77">
        <v>9.1429622449999997</v>
      </c>
      <c r="D77" t="s">
        <v>46</v>
      </c>
      <c r="E77" t="s">
        <v>47</v>
      </c>
      <c r="F77" t="s">
        <v>48</v>
      </c>
    </row>
    <row r="78" spans="1:6" x14ac:dyDescent="0.3">
      <c r="A78" t="s">
        <v>23</v>
      </c>
      <c r="B78" t="s">
        <v>45</v>
      </c>
      <c r="C78">
        <v>10.41887406</v>
      </c>
      <c r="D78" t="s">
        <v>46</v>
      </c>
      <c r="E78" t="s">
        <v>47</v>
      </c>
      <c r="F78" t="s">
        <v>48</v>
      </c>
    </row>
    <row r="79" spans="1:6" x14ac:dyDescent="0.3">
      <c r="A79" t="s">
        <v>24</v>
      </c>
      <c r="B79" t="s">
        <v>45</v>
      </c>
      <c r="C79">
        <v>9.2004516499999998</v>
      </c>
      <c r="D79" t="s">
        <v>46</v>
      </c>
      <c r="E79" t="s">
        <v>47</v>
      </c>
      <c r="F79" t="s">
        <v>48</v>
      </c>
    </row>
    <row r="80" spans="1:6" x14ac:dyDescent="0.3">
      <c r="A80" t="s">
        <v>25</v>
      </c>
      <c r="B80" t="s">
        <v>45</v>
      </c>
      <c r="C80">
        <v>9.2576280709999992</v>
      </c>
      <c r="D80" t="s">
        <v>46</v>
      </c>
      <c r="E80" t="s">
        <v>47</v>
      </c>
      <c r="F80" t="s">
        <v>48</v>
      </c>
    </row>
    <row r="81" spans="1:6" x14ac:dyDescent="0.3">
      <c r="A81" t="s">
        <v>26</v>
      </c>
      <c r="B81" t="s">
        <v>45</v>
      </c>
      <c r="C81">
        <v>7.5753343329999998</v>
      </c>
      <c r="D81" t="s">
        <v>46</v>
      </c>
      <c r="E81" t="s">
        <v>47</v>
      </c>
      <c r="F81" t="s">
        <v>48</v>
      </c>
    </row>
    <row r="82" spans="1:6" x14ac:dyDescent="0.3">
      <c r="A82" t="s">
        <v>0</v>
      </c>
      <c r="B82" t="s">
        <v>45</v>
      </c>
      <c r="C82">
        <v>39.180962309999998</v>
      </c>
      <c r="D82" t="s">
        <v>46</v>
      </c>
      <c r="E82" t="s">
        <v>47</v>
      </c>
      <c r="F82" t="s">
        <v>48</v>
      </c>
    </row>
    <row r="83" spans="1:6" x14ac:dyDescent="0.3">
      <c r="A83" t="s">
        <v>27</v>
      </c>
      <c r="B83" t="s">
        <v>45</v>
      </c>
      <c r="C83">
        <v>10.14877806</v>
      </c>
      <c r="D83" t="s">
        <v>46</v>
      </c>
      <c r="E83" t="s">
        <v>47</v>
      </c>
      <c r="F83" t="s">
        <v>48</v>
      </c>
    </row>
    <row r="84" spans="1:6" x14ac:dyDescent="0.3">
      <c r="A84" t="s">
        <v>28</v>
      </c>
      <c r="B84" t="s">
        <v>45</v>
      </c>
      <c r="C84">
        <v>25.818454559999999</v>
      </c>
      <c r="D84" t="s">
        <v>46</v>
      </c>
      <c r="E84" t="s">
        <v>47</v>
      </c>
      <c r="F84" t="s">
        <v>48</v>
      </c>
    </row>
    <row r="85" spans="1:6" x14ac:dyDescent="0.3">
      <c r="A85" t="s">
        <v>29</v>
      </c>
      <c r="B85" t="s">
        <v>45</v>
      </c>
      <c r="C85">
        <v>14.24826171</v>
      </c>
      <c r="D85" t="s">
        <v>46</v>
      </c>
      <c r="E85" t="s">
        <v>47</v>
      </c>
      <c r="F85" t="s">
        <v>48</v>
      </c>
    </row>
    <row r="86" spans="1:6" x14ac:dyDescent="0.3">
      <c r="A86" t="s">
        <v>30</v>
      </c>
      <c r="B86" t="s">
        <v>45</v>
      </c>
      <c r="C86">
        <v>14.908601989999999</v>
      </c>
      <c r="D86" t="s">
        <v>46</v>
      </c>
      <c r="E86" t="s">
        <v>47</v>
      </c>
      <c r="F86" t="s">
        <v>48</v>
      </c>
    </row>
    <row r="87" spans="1:6" x14ac:dyDescent="0.3">
      <c r="A87" t="s">
        <v>31</v>
      </c>
      <c r="B87" t="s">
        <v>45</v>
      </c>
      <c r="C87">
        <v>60.05115636</v>
      </c>
      <c r="D87" t="s">
        <v>46</v>
      </c>
      <c r="E87" t="s">
        <v>47</v>
      </c>
      <c r="F87" t="s">
        <v>48</v>
      </c>
    </row>
    <row r="88" spans="1:6" x14ac:dyDescent="0.3">
      <c r="A88" t="s">
        <v>32</v>
      </c>
      <c r="B88" t="s">
        <v>45</v>
      </c>
      <c r="C88">
        <v>32.641987759999999</v>
      </c>
      <c r="D88" t="s">
        <v>46</v>
      </c>
      <c r="E88" t="s">
        <v>47</v>
      </c>
      <c r="F88" t="s">
        <v>48</v>
      </c>
    </row>
    <row r="89" spans="1:6" x14ac:dyDescent="0.3">
      <c r="A89" t="s">
        <v>33</v>
      </c>
      <c r="B89" t="s">
        <v>45</v>
      </c>
      <c r="C89">
        <v>22.005505329999998</v>
      </c>
      <c r="D89" t="s">
        <v>46</v>
      </c>
      <c r="E89" t="s">
        <v>47</v>
      </c>
      <c r="F89" t="s">
        <v>48</v>
      </c>
    </row>
    <row r="90" spans="1:6" x14ac:dyDescent="0.3">
      <c r="A90" t="s">
        <v>34</v>
      </c>
      <c r="B90" t="s">
        <v>45</v>
      </c>
      <c r="C90">
        <v>14.265281679999999</v>
      </c>
      <c r="D90" t="s">
        <v>46</v>
      </c>
      <c r="E90" t="s">
        <v>47</v>
      </c>
      <c r="F90" t="s">
        <v>48</v>
      </c>
    </row>
    <row r="91" spans="1:6" x14ac:dyDescent="0.3">
      <c r="A91" t="s">
        <v>35</v>
      </c>
      <c r="B91" t="s">
        <v>45</v>
      </c>
      <c r="C91">
        <v>11.838277489999999</v>
      </c>
      <c r="D91" t="s">
        <v>46</v>
      </c>
      <c r="E91" t="s">
        <v>47</v>
      </c>
      <c r="F91" t="s">
        <v>48</v>
      </c>
    </row>
    <row r="92" spans="1:6" x14ac:dyDescent="0.3">
      <c r="A92" t="s">
        <v>36</v>
      </c>
      <c r="B92" t="s">
        <v>45</v>
      </c>
      <c r="C92">
        <v>15.08093302</v>
      </c>
      <c r="D92" t="s">
        <v>46</v>
      </c>
      <c r="E92" t="s">
        <v>47</v>
      </c>
      <c r="F92" t="s">
        <v>48</v>
      </c>
    </row>
    <row r="93" spans="1:6" x14ac:dyDescent="0.3">
      <c r="A93" t="s">
        <v>37</v>
      </c>
      <c r="B93" t="s">
        <v>45</v>
      </c>
      <c r="C93">
        <v>10.06585948</v>
      </c>
      <c r="D93" t="s">
        <v>46</v>
      </c>
      <c r="E93" t="s">
        <v>47</v>
      </c>
      <c r="F93" t="s">
        <v>48</v>
      </c>
    </row>
    <row r="94" spans="1:6" x14ac:dyDescent="0.3">
      <c r="A94" t="s">
        <v>38</v>
      </c>
      <c r="B94" t="s">
        <v>45</v>
      </c>
      <c r="C94">
        <v>0.54210605489999997</v>
      </c>
      <c r="D94" t="s">
        <v>46</v>
      </c>
      <c r="E94" t="s">
        <v>47</v>
      </c>
      <c r="F94" t="s">
        <v>48</v>
      </c>
    </row>
    <row r="95" spans="1:6" x14ac:dyDescent="0.3">
      <c r="A95" t="s">
        <v>39</v>
      </c>
      <c r="B95" t="s">
        <v>45</v>
      </c>
      <c r="C95">
        <v>12.787442159999999</v>
      </c>
      <c r="D95" t="s">
        <v>46</v>
      </c>
      <c r="E95" t="s">
        <v>47</v>
      </c>
      <c r="F95" t="s">
        <v>48</v>
      </c>
    </row>
    <row r="96" spans="1:6" x14ac:dyDescent="0.3">
      <c r="A96" t="s">
        <v>40</v>
      </c>
      <c r="B96" t="s">
        <v>45</v>
      </c>
      <c r="C96">
        <v>1.7450470410000001</v>
      </c>
      <c r="D96" t="s">
        <v>46</v>
      </c>
      <c r="E96" t="s">
        <v>47</v>
      </c>
      <c r="F96" t="s">
        <v>48</v>
      </c>
    </row>
    <row r="97" spans="1:6" x14ac:dyDescent="0.3">
      <c r="A97" t="s">
        <v>41</v>
      </c>
      <c r="B97" t="s">
        <v>45</v>
      </c>
      <c r="C97">
        <v>19.01460552</v>
      </c>
      <c r="D97" t="s">
        <v>46</v>
      </c>
      <c r="E97" t="s">
        <v>47</v>
      </c>
      <c r="F97" t="s">
        <v>48</v>
      </c>
    </row>
    <row r="98" spans="1:6" x14ac:dyDescent="0.3">
      <c r="A98" t="s">
        <v>7</v>
      </c>
      <c r="B98" t="s">
        <v>49</v>
      </c>
      <c r="C98">
        <v>22.440226760000002</v>
      </c>
      <c r="D98" t="s">
        <v>50</v>
      </c>
      <c r="E98" t="s">
        <v>10</v>
      </c>
      <c r="F98" t="s">
        <v>51</v>
      </c>
    </row>
    <row r="99" spans="1:6" x14ac:dyDescent="0.3">
      <c r="A99" t="s">
        <v>12</v>
      </c>
      <c r="B99" t="s">
        <v>49</v>
      </c>
      <c r="C99">
        <v>18.15391292</v>
      </c>
      <c r="D99" t="s">
        <v>50</v>
      </c>
      <c r="E99" t="s">
        <v>10</v>
      </c>
      <c r="F99" t="s">
        <v>51</v>
      </c>
    </row>
    <row r="100" spans="1:6" x14ac:dyDescent="0.3">
      <c r="A100" t="s">
        <v>13</v>
      </c>
      <c r="B100" t="s">
        <v>49</v>
      </c>
      <c r="C100">
        <v>17.13406333</v>
      </c>
      <c r="D100" t="s">
        <v>50</v>
      </c>
      <c r="E100" t="s">
        <v>10</v>
      </c>
      <c r="F100" t="s">
        <v>51</v>
      </c>
    </row>
    <row r="101" spans="1:6" x14ac:dyDescent="0.3">
      <c r="A101" t="s">
        <v>14</v>
      </c>
      <c r="B101" t="s">
        <v>49</v>
      </c>
      <c r="C101">
        <v>22.108955349999999</v>
      </c>
      <c r="D101" t="s">
        <v>50</v>
      </c>
      <c r="E101" t="s">
        <v>10</v>
      </c>
      <c r="F101" t="s">
        <v>51</v>
      </c>
    </row>
    <row r="102" spans="1:6" x14ac:dyDescent="0.3">
      <c r="A102" t="s">
        <v>15</v>
      </c>
      <c r="B102" t="s">
        <v>49</v>
      </c>
      <c r="C102">
        <v>27.776092850000001</v>
      </c>
      <c r="D102" t="s">
        <v>50</v>
      </c>
      <c r="E102" t="s">
        <v>10</v>
      </c>
      <c r="F102" t="s">
        <v>51</v>
      </c>
    </row>
    <row r="103" spans="1:6" x14ac:dyDescent="0.3">
      <c r="A103" t="s">
        <v>16</v>
      </c>
      <c r="B103" t="s">
        <v>49</v>
      </c>
      <c r="C103">
        <v>19.34311937</v>
      </c>
      <c r="D103" t="s">
        <v>50</v>
      </c>
      <c r="E103" t="s">
        <v>10</v>
      </c>
      <c r="F103" t="s">
        <v>51</v>
      </c>
    </row>
    <row r="104" spans="1:6" x14ac:dyDescent="0.3">
      <c r="A104" t="s">
        <v>17</v>
      </c>
      <c r="B104" t="s">
        <v>49</v>
      </c>
      <c r="C104">
        <v>20.97418884</v>
      </c>
      <c r="D104" t="s">
        <v>50</v>
      </c>
      <c r="E104" t="s">
        <v>10</v>
      </c>
      <c r="F104" t="s">
        <v>51</v>
      </c>
    </row>
    <row r="105" spans="1:6" x14ac:dyDescent="0.3">
      <c r="A105" t="s">
        <v>18</v>
      </c>
      <c r="B105" t="s">
        <v>49</v>
      </c>
      <c r="C105">
        <v>19.263250320000001</v>
      </c>
      <c r="D105" t="s">
        <v>50</v>
      </c>
      <c r="E105" t="s">
        <v>10</v>
      </c>
      <c r="F105" t="s">
        <v>51</v>
      </c>
    </row>
    <row r="106" spans="1:6" x14ac:dyDescent="0.3">
      <c r="A106" t="s">
        <v>19</v>
      </c>
      <c r="B106" t="s">
        <v>49</v>
      </c>
      <c r="C106">
        <v>21.643646700000001</v>
      </c>
      <c r="D106" t="s">
        <v>50</v>
      </c>
      <c r="E106" t="s">
        <v>10</v>
      </c>
      <c r="F106" t="s">
        <v>51</v>
      </c>
    </row>
    <row r="107" spans="1:6" x14ac:dyDescent="0.3">
      <c r="A107" t="s">
        <v>20</v>
      </c>
      <c r="B107" t="s">
        <v>49</v>
      </c>
      <c r="C107">
        <v>26.33236535</v>
      </c>
      <c r="D107" t="s">
        <v>50</v>
      </c>
      <c r="E107" t="s">
        <v>10</v>
      </c>
      <c r="F107" t="s">
        <v>51</v>
      </c>
    </row>
    <row r="108" spans="1:6" x14ac:dyDescent="0.3">
      <c r="A108" t="s">
        <v>21</v>
      </c>
      <c r="B108" t="s">
        <v>49</v>
      </c>
      <c r="C108">
        <v>30.180147040000001</v>
      </c>
      <c r="D108" t="s">
        <v>50</v>
      </c>
      <c r="E108" t="s">
        <v>10</v>
      </c>
      <c r="F108" t="s">
        <v>51</v>
      </c>
    </row>
    <row r="109" spans="1:6" x14ac:dyDescent="0.3">
      <c r="A109" t="s">
        <v>22</v>
      </c>
      <c r="B109" t="s">
        <v>49</v>
      </c>
      <c r="C109">
        <v>34.896883979999998</v>
      </c>
      <c r="D109" t="s">
        <v>50</v>
      </c>
      <c r="E109" t="s">
        <v>10</v>
      </c>
      <c r="F109" t="s">
        <v>51</v>
      </c>
    </row>
    <row r="110" spans="1:6" x14ac:dyDescent="0.3">
      <c r="A110" t="s">
        <v>23</v>
      </c>
      <c r="B110" t="s">
        <v>49</v>
      </c>
      <c r="C110">
        <v>29.994471430000001</v>
      </c>
      <c r="D110" t="s">
        <v>50</v>
      </c>
      <c r="E110" t="s">
        <v>10</v>
      </c>
      <c r="F110" t="s">
        <v>51</v>
      </c>
    </row>
    <row r="111" spans="1:6" x14ac:dyDescent="0.3">
      <c r="A111" t="s">
        <v>24</v>
      </c>
      <c r="B111" t="s">
        <v>49</v>
      </c>
      <c r="C111">
        <v>18.89741416</v>
      </c>
      <c r="D111" t="s">
        <v>50</v>
      </c>
      <c r="E111" t="s">
        <v>10</v>
      </c>
      <c r="F111" t="s">
        <v>51</v>
      </c>
    </row>
    <row r="112" spans="1:6" x14ac:dyDescent="0.3">
      <c r="A112" t="s">
        <v>25</v>
      </c>
      <c r="B112" t="s">
        <v>49</v>
      </c>
      <c r="C112">
        <v>27.730043940000002</v>
      </c>
      <c r="D112" t="s">
        <v>50</v>
      </c>
      <c r="E112" t="s">
        <v>10</v>
      </c>
      <c r="F112" t="s">
        <v>51</v>
      </c>
    </row>
    <row r="113" spans="1:6" x14ac:dyDescent="0.3">
      <c r="A113" t="s">
        <v>26</v>
      </c>
      <c r="B113" t="s">
        <v>49</v>
      </c>
      <c r="C113">
        <v>24.602017879999998</v>
      </c>
      <c r="D113" t="s">
        <v>50</v>
      </c>
      <c r="E113" t="s">
        <v>10</v>
      </c>
      <c r="F113" t="s">
        <v>51</v>
      </c>
    </row>
    <row r="114" spans="1:6" x14ac:dyDescent="0.3">
      <c r="A114" t="s">
        <v>0</v>
      </c>
      <c r="B114" t="s">
        <v>49</v>
      </c>
      <c r="C114">
        <v>26.983964839999999</v>
      </c>
      <c r="D114" t="s">
        <v>50</v>
      </c>
      <c r="E114" t="s">
        <v>10</v>
      </c>
      <c r="F114" t="s">
        <v>51</v>
      </c>
    </row>
    <row r="115" spans="1:6" x14ac:dyDescent="0.3">
      <c r="A115" t="s">
        <v>27</v>
      </c>
      <c r="B115" t="s">
        <v>49</v>
      </c>
      <c r="C115">
        <v>24.58409297</v>
      </c>
      <c r="D115" t="s">
        <v>50</v>
      </c>
      <c r="E115" t="s">
        <v>10</v>
      </c>
      <c r="F115" t="s">
        <v>51</v>
      </c>
    </row>
    <row r="116" spans="1:6" x14ac:dyDescent="0.3">
      <c r="A116" t="s">
        <v>28</v>
      </c>
      <c r="B116" t="s">
        <v>49</v>
      </c>
      <c r="C116">
        <v>18.858728159999998</v>
      </c>
      <c r="D116" t="s">
        <v>50</v>
      </c>
      <c r="E116" t="s">
        <v>10</v>
      </c>
      <c r="F116" t="s">
        <v>51</v>
      </c>
    </row>
    <row r="117" spans="1:6" x14ac:dyDescent="0.3">
      <c r="A117" t="s">
        <v>29</v>
      </c>
      <c r="B117" t="s">
        <v>49</v>
      </c>
      <c r="C117">
        <v>33.203477960000001</v>
      </c>
      <c r="D117" t="s">
        <v>50</v>
      </c>
      <c r="E117" t="s">
        <v>10</v>
      </c>
      <c r="F117" t="s">
        <v>51</v>
      </c>
    </row>
    <row r="118" spans="1:6" x14ac:dyDescent="0.3">
      <c r="A118" t="s">
        <v>30</v>
      </c>
      <c r="B118" t="s">
        <v>49</v>
      </c>
      <c r="C118">
        <v>27.38173106</v>
      </c>
      <c r="D118" t="s">
        <v>50</v>
      </c>
      <c r="E118" t="s">
        <v>10</v>
      </c>
      <c r="F118" t="s">
        <v>51</v>
      </c>
    </row>
    <row r="119" spans="1:6" x14ac:dyDescent="0.3">
      <c r="A119" t="s">
        <v>31</v>
      </c>
      <c r="B119" t="s">
        <v>49</v>
      </c>
      <c r="C119">
        <v>20.213846660000002</v>
      </c>
      <c r="D119" t="s">
        <v>50</v>
      </c>
      <c r="E119" t="s">
        <v>10</v>
      </c>
      <c r="F119" t="s">
        <v>51</v>
      </c>
    </row>
    <row r="120" spans="1:6" x14ac:dyDescent="0.3">
      <c r="A120" t="s">
        <v>32</v>
      </c>
      <c r="B120" t="s">
        <v>49</v>
      </c>
      <c r="C120">
        <v>21.346800259999998</v>
      </c>
      <c r="D120" t="s">
        <v>50</v>
      </c>
      <c r="E120" t="s">
        <v>10</v>
      </c>
      <c r="F120" t="s">
        <v>51</v>
      </c>
    </row>
    <row r="121" spans="1:6" x14ac:dyDescent="0.3">
      <c r="A121" t="s">
        <v>33</v>
      </c>
      <c r="B121" t="s">
        <v>49</v>
      </c>
      <c r="C121">
        <v>29.939331790000001</v>
      </c>
      <c r="D121" t="s">
        <v>50</v>
      </c>
      <c r="E121" t="s">
        <v>10</v>
      </c>
      <c r="F121" t="s">
        <v>51</v>
      </c>
    </row>
    <row r="122" spans="1:6" x14ac:dyDescent="0.3">
      <c r="A122" t="s">
        <v>34</v>
      </c>
      <c r="B122" t="s">
        <v>49</v>
      </c>
      <c r="C122">
        <v>30.23985935</v>
      </c>
      <c r="D122" t="s">
        <v>50</v>
      </c>
      <c r="E122" t="s">
        <v>10</v>
      </c>
      <c r="F122" t="s">
        <v>51</v>
      </c>
    </row>
    <row r="123" spans="1:6" x14ac:dyDescent="0.3">
      <c r="A123" t="s">
        <v>35</v>
      </c>
      <c r="B123" t="s">
        <v>49</v>
      </c>
      <c r="C123">
        <v>24.231895869999999</v>
      </c>
      <c r="D123" t="s">
        <v>50</v>
      </c>
      <c r="E123" t="s">
        <v>10</v>
      </c>
      <c r="F123" t="s">
        <v>51</v>
      </c>
    </row>
    <row r="124" spans="1:6" x14ac:dyDescent="0.3">
      <c r="A124" t="s">
        <v>36</v>
      </c>
      <c r="B124" t="s">
        <v>49</v>
      </c>
      <c r="C124">
        <v>28.809802470000001</v>
      </c>
      <c r="D124" t="s">
        <v>50</v>
      </c>
      <c r="E124" t="s">
        <v>10</v>
      </c>
      <c r="F124" t="s">
        <v>51</v>
      </c>
    </row>
    <row r="125" spans="1:6" x14ac:dyDescent="0.3">
      <c r="A125" t="s">
        <v>37</v>
      </c>
      <c r="B125" t="s">
        <v>49</v>
      </c>
      <c r="C125">
        <v>27.242235699999998</v>
      </c>
      <c r="D125" t="s">
        <v>50</v>
      </c>
      <c r="E125" t="s">
        <v>10</v>
      </c>
      <c r="F125" t="s">
        <v>51</v>
      </c>
    </row>
    <row r="126" spans="1:6" x14ac:dyDescent="0.3">
      <c r="A126" t="s">
        <v>38</v>
      </c>
      <c r="B126" t="s">
        <v>49</v>
      </c>
      <c r="C126">
        <v>26.085186279999999</v>
      </c>
      <c r="D126" t="s">
        <v>50</v>
      </c>
      <c r="E126" t="s">
        <v>10</v>
      </c>
      <c r="F126" t="s">
        <v>51</v>
      </c>
    </row>
    <row r="127" spans="1:6" x14ac:dyDescent="0.3">
      <c r="A127" t="s">
        <v>39</v>
      </c>
      <c r="B127" t="s">
        <v>49</v>
      </c>
      <c r="C127">
        <v>37.655944769999998</v>
      </c>
      <c r="D127" t="s">
        <v>50</v>
      </c>
      <c r="E127" t="s">
        <v>10</v>
      </c>
      <c r="F127" t="s">
        <v>51</v>
      </c>
    </row>
    <row r="128" spans="1:6" x14ac:dyDescent="0.3">
      <c r="A128" t="s">
        <v>40</v>
      </c>
      <c r="B128" t="s">
        <v>49</v>
      </c>
      <c r="C128">
        <v>24.87067472</v>
      </c>
      <c r="D128" t="s">
        <v>50</v>
      </c>
      <c r="E128" t="s">
        <v>10</v>
      </c>
      <c r="F128" t="s">
        <v>51</v>
      </c>
    </row>
    <row r="129" spans="1:6" x14ac:dyDescent="0.3">
      <c r="A129" t="s">
        <v>41</v>
      </c>
      <c r="B129" t="s">
        <v>49</v>
      </c>
      <c r="C129">
        <v>36.721016370000001</v>
      </c>
      <c r="D129" t="s">
        <v>50</v>
      </c>
      <c r="E129" t="s">
        <v>10</v>
      </c>
      <c r="F129" t="s">
        <v>51</v>
      </c>
    </row>
    <row r="130" spans="1:6" x14ac:dyDescent="0.3">
      <c r="A130" t="s">
        <v>7</v>
      </c>
      <c r="B130" t="s">
        <v>52</v>
      </c>
      <c r="C130">
        <v>59.31960565</v>
      </c>
      <c r="D130" t="s">
        <v>53</v>
      </c>
      <c r="E130" t="s">
        <v>10</v>
      </c>
      <c r="F130" t="s">
        <v>54</v>
      </c>
    </row>
    <row r="131" spans="1:6" x14ac:dyDescent="0.3">
      <c r="A131" t="s">
        <v>12</v>
      </c>
      <c r="B131" t="s">
        <v>52</v>
      </c>
      <c r="C131">
        <v>51.255922290000001</v>
      </c>
      <c r="D131" t="s">
        <v>53</v>
      </c>
      <c r="E131" t="s">
        <v>10</v>
      </c>
      <c r="F131" t="s">
        <v>54</v>
      </c>
    </row>
    <row r="132" spans="1:6" x14ac:dyDescent="0.3">
      <c r="A132" t="s">
        <v>13</v>
      </c>
      <c r="B132" t="s">
        <v>52</v>
      </c>
      <c r="C132">
        <v>56.884258039999999</v>
      </c>
      <c r="D132" t="s">
        <v>53</v>
      </c>
      <c r="E132" t="s">
        <v>10</v>
      </c>
      <c r="F132" t="s">
        <v>54</v>
      </c>
    </row>
    <row r="133" spans="1:6" x14ac:dyDescent="0.3">
      <c r="A133" t="s">
        <v>14</v>
      </c>
      <c r="B133" t="s">
        <v>52</v>
      </c>
      <c r="C133">
        <v>50.322886990000001</v>
      </c>
      <c r="D133" t="s">
        <v>53</v>
      </c>
      <c r="E133" t="s">
        <v>10</v>
      </c>
      <c r="F133" t="s">
        <v>54</v>
      </c>
    </row>
    <row r="134" spans="1:6" x14ac:dyDescent="0.3">
      <c r="A134" t="s">
        <v>15</v>
      </c>
      <c r="B134" t="s">
        <v>52</v>
      </c>
      <c r="C134">
        <v>66.200020989999999</v>
      </c>
      <c r="D134" t="s">
        <v>53</v>
      </c>
      <c r="E134" t="s">
        <v>10</v>
      </c>
      <c r="F134" t="s">
        <v>54</v>
      </c>
    </row>
    <row r="135" spans="1:6" x14ac:dyDescent="0.3">
      <c r="A135" t="s">
        <v>16</v>
      </c>
      <c r="B135" t="s">
        <v>52</v>
      </c>
      <c r="C135">
        <v>55.568934380000002</v>
      </c>
      <c r="D135" t="s">
        <v>53</v>
      </c>
      <c r="E135" t="s">
        <v>10</v>
      </c>
      <c r="F135" t="s">
        <v>54</v>
      </c>
    </row>
    <row r="136" spans="1:6" x14ac:dyDescent="0.3">
      <c r="A136" t="s">
        <v>17</v>
      </c>
      <c r="B136" t="s">
        <v>52</v>
      </c>
      <c r="C136">
        <v>47.918259190000001</v>
      </c>
      <c r="D136" t="s">
        <v>53</v>
      </c>
      <c r="E136" t="s">
        <v>10</v>
      </c>
      <c r="F136" t="s">
        <v>54</v>
      </c>
    </row>
    <row r="137" spans="1:6" x14ac:dyDescent="0.3">
      <c r="A137" t="s">
        <v>18</v>
      </c>
      <c r="B137" t="s">
        <v>52</v>
      </c>
      <c r="C137">
        <v>55.55627106</v>
      </c>
      <c r="D137" t="s">
        <v>53</v>
      </c>
      <c r="E137" t="s">
        <v>10</v>
      </c>
      <c r="F137" t="s">
        <v>54</v>
      </c>
    </row>
    <row r="138" spans="1:6" x14ac:dyDescent="0.3">
      <c r="A138" t="s">
        <v>19</v>
      </c>
      <c r="B138" t="s">
        <v>52</v>
      </c>
      <c r="C138">
        <v>56.725061179999997</v>
      </c>
      <c r="D138" t="s">
        <v>53</v>
      </c>
      <c r="E138" t="s">
        <v>10</v>
      </c>
      <c r="F138" t="s">
        <v>54</v>
      </c>
    </row>
    <row r="139" spans="1:6" x14ac:dyDescent="0.3">
      <c r="A139" t="s">
        <v>20</v>
      </c>
      <c r="B139" t="s">
        <v>52</v>
      </c>
      <c r="C139">
        <v>58.494097959999998</v>
      </c>
      <c r="D139" t="s">
        <v>53</v>
      </c>
      <c r="E139" t="s">
        <v>10</v>
      </c>
      <c r="F139" t="s">
        <v>54</v>
      </c>
    </row>
    <row r="140" spans="1:6" x14ac:dyDescent="0.3">
      <c r="A140" t="s">
        <v>21</v>
      </c>
      <c r="B140" t="s">
        <v>52</v>
      </c>
      <c r="C140">
        <v>60.966323600000003</v>
      </c>
      <c r="D140" t="s">
        <v>53</v>
      </c>
      <c r="E140" t="s">
        <v>10</v>
      </c>
      <c r="F140" t="s">
        <v>54</v>
      </c>
    </row>
    <row r="141" spans="1:6" x14ac:dyDescent="0.3">
      <c r="A141" t="s">
        <v>22</v>
      </c>
      <c r="B141" t="s">
        <v>52</v>
      </c>
      <c r="C141">
        <v>62.537923759999998</v>
      </c>
      <c r="D141" t="s">
        <v>53</v>
      </c>
      <c r="E141" t="s">
        <v>10</v>
      </c>
      <c r="F141" t="s">
        <v>54</v>
      </c>
    </row>
    <row r="142" spans="1:6" x14ac:dyDescent="0.3">
      <c r="A142" t="s">
        <v>23</v>
      </c>
      <c r="B142" t="s">
        <v>52</v>
      </c>
      <c r="C142">
        <v>56.075275849999997</v>
      </c>
      <c r="D142" t="s">
        <v>53</v>
      </c>
      <c r="E142" t="s">
        <v>10</v>
      </c>
      <c r="F142" t="s">
        <v>54</v>
      </c>
    </row>
    <row r="143" spans="1:6" x14ac:dyDescent="0.3">
      <c r="A143" t="s">
        <v>24</v>
      </c>
      <c r="B143" t="s">
        <v>52</v>
      </c>
      <c r="C143">
        <v>53.636316710000003</v>
      </c>
      <c r="D143" t="s">
        <v>53</v>
      </c>
      <c r="E143" t="s">
        <v>10</v>
      </c>
      <c r="F143" t="s">
        <v>54</v>
      </c>
    </row>
    <row r="144" spans="1:6" x14ac:dyDescent="0.3">
      <c r="A144" t="s">
        <v>25</v>
      </c>
      <c r="B144" t="s">
        <v>52</v>
      </c>
      <c r="C144">
        <v>60.008753339999998</v>
      </c>
      <c r="D144" t="s">
        <v>53</v>
      </c>
      <c r="E144" t="s">
        <v>10</v>
      </c>
      <c r="F144" t="s">
        <v>54</v>
      </c>
    </row>
    <row r="145" spans="1:6" x14ac:dyDescent="0.3">
      <c r="A145" t="s">
        <v>26</v>
      </c>
      <c r="B145" t="s">
        <v>52</v>
      </c>
      <c r="C145">
        <v>55.709733790000001</v>
      </c>
      <c r="D145" t="s">
        <v>53</v>
      </c>
      <c r="E145" t="s">
        <v>10</v>
      </c>
      <c r="F145" t="s">
        <v>54</v>
      </c>
    </row>
    <row r="146" spans="1:6" x14ac:dyDescent="0.3">
      <c r="A146" t="s">
        <v>0</v>
      </c>
      <c r="B146" t="s">
        <v>52</v>
      </c>
      <c r="C146">
        <v>59.702402110000001</v>
      </c>
      <c r="D146" t="s">
        <v>53</v>
      </c>
      <c r="E146" t="s">
        <v>10</v>
      </c>
      <c r="F146" t="s">
        <v>54</v>
      </c>
    </row>
    <row r="147" spans="1:6" x14ac:dyDescent="0.3">
      <c r="A147" t="s">
        <v>27</v>
      </c>
      <c r="B147" t="s">
        <v>52</v>
      </c>
      <c r="C147">
        <v>64.076609379999994</v>
      </c>
      <c r="D147" t="s">
        <v>53</v>
      </c>
      <c r="E147" t="s">
        <v>10</v>
      </c>
      <c r="F147" t="s">
        <v>54</v>
      </c>
    </row>
    <row r="148" spans="1:6" x14ac:dyDescent="0.3">
      <c r="A148" t="s">
        <v>28</v>
      </c>
      <c r="B148" t="s">
        <v>52</v>
      </c>
      <c r="C148">
        <v>54.446750350000002</v>
      </c>
      <c r="D148" t="s">
        <v>53</v>
      </c>
      <c r="E148" t="s">
        <v>10</v>
      </c>
      <c r="F148" t="s">
        <v>54</v>
      </c>
    </row>
    <row r="149" spans="1:6" x14ac:dyDescent="0.3">
      <c r="A149" t="s">
        <v>29</v>
      </c>
      <c r="B149" t="s">
        <v>52</v>
      </c>
      <c r="C149">
        <v>58.519718400000002</v>
      </c>
      <c r="D149" t="s">
        <v>53</v>
      </c>
      <c r="E149" t="s">
        <v>10</v>
      </c>
      <c r="F149" t="s">
        <v>54</v>
      </c>
    </row>
    <row r="150" spans="1:6" x14ac:dyDescent="0.3">
      <c r="A150" t="s">
        <v>30</v>
      </c>
      <c r="B150" t="s">
        <v>52</v>
      </c>
      <c r="C150">
        <v>68.032532739999994</v>
      </c>
      <c r="D150" t="s">
        <v>53</v>
      </c>
      <c r="E150" t="s">
        <v>10</v>
      </c>
      <c r="F150" t="s">
        <v>54</v>
      </c>
    </row>
    <row r="151" spans="1:6" x14ac:dyDescent="0.3">
      <c r="A151" t="s">
        <v>31</v>
      </c>
      <c r="B151" t="s">
        <v>52</v>
      </c>
      <c r="C151">
        <v>59.062199990000003</v>
      </c>
      <c r="D151" t="s">
        <v>53</v>
      </c>
      <c r="E151" t="s">
        <v>10</v>
      </c>
      <c r="F151" t="s">
        <v>54</v>
      </c>
    </row>
    <row r="152" spans="1:6" x14ac:dyDescent="0.3">
      <c r="A152" t="s">
        <v>32</v>
      </c>
      <c r="B152" t="s">
        <v>52</v>
      </c>
      <c r="C152">
        <v>58.762414489999998</v>
      </c>
      <c r="D152" t="s">
        <v>53</v>
      </c>
      <c r="E152" t="s">
        <v>10</v>
      </c>
      <c r="F152" t="s">
        <v>54</v>
      </c>
    </row>
    <row r="153" spans="1:6" x14ac:dyDescent="0.3">
      <c r="A153" t="s">
        <v>33</v>
      </c>
      <c r="B153" t="s">
        <v>52</v>
      </c>
      <c r="C153">
        <v>59.706312169999997</v>
      </c>
      <c r="D153" t="s">
        <v>53</v>
      </c>
      <c r="E153" t="s">
        <v>10</v>
      </c>
      <c r="F153" t="s">
        <v>54</v>
      </c>
    </row>
    <row r="154" spans="1:6" x14ac:dyDescent="0.3">
      <c r="A154" t="s">
        <v>34</v>
      </c>
      <c r="B154" t="s">
        <v>52</v>
      </c>
      <c r="C154">
        <v>64.942038440000005</v>
      </c>
      <c r="D154" t="s">
        <v>53</v>
      </c>
      <c r="E154" t="s">
        <v>10</v>
      </c>
      <c r="F154" t="s">
        <v>54</v>
      </c>
    </row>
    <row r="155" spans="1:6" x14ac:dyDescent="0.3">
      <c r="A155" t="s">
        <v>35</v>
      </c>
      <c r="B155" t="s">
        <v>52</v>
      </c>
      <c r="C155">
        <v>52.373562630000002</v>
      </c>
      <c r="D155" t="s">
        <v>53</v>
      </c>
      <c r="E155" t="s">
        <v>10</v>
      </c>
      <c r="F155" t="s">
        <v>54</v>
      </c>
    </row>
    <row r="156" spans="1:6" x14ac:dyDescent="0.3">
      <c r="A156" t="s">
        <v>36</v>
      </c>
      <c r="B156" t="s">
        <v>52</v>
      </c>
      <c r="C156">
        <v>58.016229019999997</v>
      </c>
      <c r="D156" t="s">
        <v>53</v>
      </c>
      <c r="E156" t="s">
        <v>10</v>
      </c>
      <c r="F156" t="s">
        <v>54</v>
      </c>
    </row>
    <row r="157" spans="1:6" x14ac:dyDescent="0.3">
      <c r="A157" t="s">
        <v>37</v>
      </c>
      <c r="B157" t="s">
        <v>52</v>
      </c>
      <c r="C157">
        <v>53.344045970000003</v>
      </c>
      <c r="D157" t="s">
        <v>53</v>
      </c>
      <c r="E157" t="s">
        <v>10</v>
      </c>
      <c r="F157" t="s">
        <v>54</v>
      </c>
    </row>
    <row r="158" spans="1:6" x14ac:dyDescent="0.3">
      <c r="A158" t="s">
        <v>38</v>
      </c>
      <c r="B158" t="s">
        <v>52</v>
      </c>
      <c r="C158">
        <v>56.583588059999997</v>
      </c>
      <c r="D158" t="s">
        <v>53</v>
      </c>
      <c r="E158" t="s">
        <v>10</v>
      </c>
      <c r="F158" t="s">
        <v>54</v>
      </c>
    </row>
    <row r="159" spans="1:6" x14ac:dyDescent="0.3">
      <c r="A159" t="s">
        <v>39</v>
      </c>
      <c r="B159" t="s">
        <v>52</v>
      </c>
      <c r="C159">
        <v>64.78947024</v>
      </c>
      <c r="D159" t="s">
        <v>53</v>
      </c>
      <c r="E159" t="s">
        <v>10</v>
      </c>
      <c r="F159" t="s">
        <v>54</v>
      </c>
    </row>
    <row r="160" spans="1:6" x14ac:dyDescent="0.3">
      <c r="A160" t="s">
        <v>40</v>
      </c>
      <c r="B160" t="s">
        <v>52</v>
      </c>
      <c r="C160">
        <v>55.14474431</v>
      </c>
      <c r="D160" t="s">
        <v>53</v>
      </c>
      <c r="E160" t="s">
        <v>10</v>
      </c>
      <c r="F160" t="s">
        <v>54</v>
      </c>
    </row>
    <row r="161" spans="1:6" x14ac:dyDescent="0.3">
      <c r="A161" t="s">
        <v>41</v>
      </c>
      <c r="B161" t="s">
        <v>52</v>
      </c>
      <c r="C161">
        <v>65.657024010000001</v>
      </c>
      <c r="D161" t="s">
        <v>53</v>
      </c>
      <c r="E161" t="s">
        <v>10</v>
      </c>
      <c r="F161" t="s">
        <v>54</v>
      </c>
    </row>
    <row r="162" spans="1:6" x14ac:dyDescent="0.3">
      <c r="A162" t="s">
        <v>7</v>
      </c>
      <c r="B162" t="s">
        <v>55</v>
      </c>
      <c r="C162">
        <v>14</v>
      </c>
      <c r="D162" t="s">
        <v>56</v>
      </c>
      <c r="E162" t="s">
        <v>10</v>
      </c>
      <c r="F162" t="s">
        <v>57</v>
      </c>
    </row>
    <row r="163" spans="1:6" x14ac:dyDescent="0.3">
      <c r="A163" t="s">
        <v>12</v>
      </c>
      <c r="B163" t="s">
        <v>55</v>
      </c>
      <c r="C163">
        <v>11.2</v>
      </c>
      <c r="D163" t="s">
        <v>56</v>
      </c>
      <c r="E163" t="s">
        <v>10</v>
      </c>
      <c r="F163" t="s">
        <v>57</v>
      </c>
    </row>
    <row r="164" spans="1:6" x14ac:dyDescent="0.3">
      <c r="A164" t="s">
        <v>13</v>
      </c>
      <c r="B164" t="s">
        <v>55</v>
      </c>
      <c r="C164">
        <v>12.1</v>
      </c>
      <c r="D164" t="s">
        <v>56</v>
      </c>
      <c r="E164" t="s">
        <v>10</v>
      </c>
      <c r="F164" t="s">
        <v>57</v>
      </c>
    </row>
    <row r="165" spans="1:6" x14ac:dyDescent="0.3">
      <c r="A165" t="s">
        <v>14</v>
      </c>
      <c r="B165" t="s">
        <v>55</v>
      </c>
      <c r="C165">
        <v>14.4</v>
      </c>
      <c r="D165" t="s">
        <v>56</v>
      </c>
      <c r="E165" t="s">
        <v>10</v>
      </c>
      <c r="F165" t="s">
        <v>57</v>
      </c>
    </row>
    <row r="166" spans="1:6" x14ac:dyDescent="0.3">
      <c r="A166" t="s">
        <v>15</v>
      </c>
      <c r="B166" t="s">
        <v>55</v>
      </c>
      <c r="C166">
        <v>18.3</v>
      </c>
      <c r="D166" t="s">
        <v>56</v>
      </c>
      <c r="E166" t="s">
        <v>10</v>
      </c>
      <c r="F166" t="s">
        <v>57</v>
      </c>
    </row>
    <row r="167" spans="1:6" x14ac:dyDescent="0.3">
      <c r="A167" t="s">
        <v>16</v>
      </c>
      <c r="B167" t="s">
        <v>55</v>
      </c>
      <c r="C167">
        <v>17.7</v>
      </c>
      <c r="D167" t="s">
        <v>56</v>
      </c>
      <c r="E167" t="s">
        <v>10</v>
      </c>
      <c r="F167" t="s">
        <v>57</v>
      </c>
    </row>
    <row r="168" spans="1:6" x14ac:dyDescent="0.3">
      <c r="A168" t="s">
        <v>17</v>
      </c>
      <c r="B168" t="s">
        <v>55</v>
      </c>
      <c r="C168">
        <v>10.199999999999999</v>
      </c>
      <c r="D168" t="s">
        <v>56</v>
      </c>
      <c r="E168" t="s">
        <v>10</v>
      </c>
      <c r="F168" t="s">
        <v>57</v>
      </c>
    </row>
    <row r="169" spans="1:6" x14ac:dyDescent="0.3">
      <c r="A169" t="s">
        <v>18</v>
      </c>
      <c r="B169" t="s">
        <v>55</v>
      </c>
      <c r="C169">
        <v>15.7</v>
      </c>
      <c r="D169" t="s">
        <v>56</v>
      </c>
      <c r="E169" t="s">
        <v>10</v>
      </c>
      <c r="F169" t="s">
        <v>57</v>
      </c>
    </row>
    <row r="170" spans="1:6" x14ac:dyDescent="0.3">
      <c r="A170" t="s">
        <v>19</v>
      </c>
      <c r="B170" t="s">
        <v>55</v>
      </c>
      <c r="C170">
        <v>12.9</v>
      </c>
      <c r="D170" t="s">
        <v>56</v>
      </c>
      <c r="E170" t="s">
        <v>10</v>
      </c>
      <c r="F170" t="s">
        <v>57</v>
      </c>
    </row>
    <row r="171" spans="1:6" x14ac:dyDescent="0.3">
      <c r="A171" t="s">
        <v>20</v>
      </c>
      <c r="B171" t="s">
        <v>55</v>
      </c>
      <c r="C171">
        <v>15.8</v>
      </c>
      <c r="D171" t="s">
        <v>56</v>
      </c>
      <c r="E171" t="s">
        <v>10</v>
      </c>
      <c r="F171" t="s">
        <v>57</v>
      </c>
    </row>
    <row r="172" spans="1:6" x14ac:dyDescent="0.3">
      <c r="A172" t="s">
        <v>21</v>
      </c>
      <c r="B172" t="s">
        <v>55</v>
      </c>
      <c r="C172">
        <v>14.6</v>
      </c>
      <c r="D172" t="s">
        <v>56</v>
      </c>
      <c r="E172" t="s">
        <v>10</v>
      </c>
      <c r="F172" t="s">
        <v>57</v>
      </c>
    </row>
    <row r="173" spans="1:6" x14ac:dyDescent="0.3">
      <c r="A173" t="s">
        <v>22</v>
      </c>
      <c r="B173" t="s">
        <v>55</v>
      </c>
      <c r="C173">
        <v>17.100000000000001</v>
      </c>
      <c r="D173" t="s">
        <v>56</v>
      </c>
      <c r="E173" t="s">
        <v>10</v>
      </c>
      <c r="F173" t="s">
        <v>57</v>
      </c>
    </row>
    <row r="174" spans="1:6" x14ac:dyDescent="0.3">
      <c r="A174" t="s">
        <v>23</v>
      </c>
      <c r="B174" t="s">
        <v>55</v>
      </c>
      <c r="C174">
        <v>14.1</v>
      </c>
      <c r="D174" t="s">
        <v>56</v>
      </c>
      <c r="E174" t="s">
        <v>10</v>
      </c>
      <c r="F174" t="s">
        <v>57</v>
      </c>
    </row>
    <row r="175" spans="1:6" x14ac:dyDescent="0.3">
      <c r="A175" t="s">
        <v>24</v>
      </c>
      <c r="B175" t="s">
        <v>55</v>
      </c>
      <c r="C175">
        <v>13.7</v>
      </c>
      <c r="D175" t="s">
        <v>56</v>
      </c>
      <c r="E175" t="s">
        <v>10</v>
      </c>
      <c r="F175" t="s">
        <v>57</v>
      </c>
    </row>
    <row r="176" spans="1:6" x14ac:dyDescent="0.3">
      <c r="A176" t="s">
        <v>25</v>
      </c>
      <c r="B176" t="s">
        <v>55</v>
      </c>
      <c r="C176">
        <v>15.3</v>
      </c>
      <c r="D176" t="s">
        <v>56</v>
      </c>
      <c r="E176" t="s">
        <v>10</v>
      </c>
      <c r="F176" t="s">
        <v>57</v>
      </c>
    </row>
    <row r="177" spans="1:6" x14ac:dyDescent="0.3">
      <c r="A177" t="s">
        <v>26</v>
      </c>
      <c r="B177" t="s">
        <v>55</v>
      </c>
      <c r="C177">
        <v>14.3</v>
      </c>
      <c r="D177" t="s">
        <v>56</v>
      </c>
      <c r="E177" t="s">
        <v>10</v>
      </c>
      <c r="F177" t="s">
        <v>57</v>
      </c>
    </row>
    <row r="178" spans="1:6" x14ac:dyDescent="0.3">
      <c r="A178" t="s">
        <v>0</v>
      </c>
      <c r="B178" t="s">
        <v>55</v>
      </c>
      <c r="C178">
        <v>14.9</v>
      </c>
      <c r="D178" t="s">
        <v>56</v>
      </c>
      <c r="E178" t="s">
        <v>10</v>
      </c>
      <c r="F178" t="s">
        <v>57</v>
      </c>
    </row>
    <row r="179" spans="1:6" x14ac:dyDescent="0.3">
      <c r="A179" t="s">
        <v>27</v>
      </c>
      <c r="B179" t="s">
        <v>55</v>
      </c>
      <c r="C179">
        <v>16.2</v>
      </c>
      <c r="D179" t="s">
        <v>56</v>
      </c>
      <c r="E179" t="s">
        <v>10</v>
      </c>
      <c r="F179" t="s">
        <v>57</v>
      </c>
    </row>
    <row r="180" spans="1:6" x14ac:dyDescent="0.3">
      <c r="A180" t="s">
        <v>28</v>
      </c>
      <c r="B180" t="s">
        <v>55</v>
      </c>
      <c r="C180">
        <v>11.1</v>
      </c>
      <c r="D180" t="s">
        <v>56</v>
      </c>
      <c r="E180" t="s">
        <v>10</v>
      </c>
      <c r="F180" t="s">
        <v>57</v>
      </c>
    </row>
    <row r="181" spans="1:6" x14ac:dyDescent="0.3">
      <c r="A181" t="s">
        <v>29</v>
      </c>
      <c r="B181" t="s">
        <v>55</v>
      </c>
      <c r="C181">
        <v>16.600000000000001</v>
      </c>
      <c r="D181" t="s">
        <v>56</v>
      </c>
      <c r="E181" t="s">
        <v>10</v>
      </c>
      <c r="F181" t="s">
        <v>57</v>
      </c>
    </row>
    <row r="182" spans="1:6" x14ac:dyDescent="0.3">
      <c r="A182" t="s">
        <v>30</v>
      </c>
      <c r="B182" t="s">
        <v>55</v>
      </c>
      <c r="C182">
        <v>16.3</v>
      </c>
      <c r="D182" t="s">
        <v>56</v>
      </c>
      <c r="E182" t="s">
        <v>10</v>
      </c>
      <c r="F182" t="s">
        <v>57</v>
      </c>
    </row>
    <row r="183" spans="1:6" x14ac:dyDescent="0.3">
      <c r="A183" t="s">
        <v>31</v>
      </c>
      <c r="B183" t="s">
        <v>55</v>
      </c>
      <c r="C183">
        <v>11.7</v>
      </c>
      <c r="D183" t="s">
        <v>56</v>
      </c>
      <c r="E183" t="s">
        <v>10</v>
      </c>
      <c r="F183" t="s">
        <v>57</v>
      </c>
    </row>
    <row r="184" spans="1:6" x14ac:dyDescent="0.3">
      <c r="A184" t="s">
        <v>32</v>
      </c>
      <c r="B184" t="s">
        <v>55</v>
      </c>
      <c r="C184">
        <v>11.5</v>
      </c>
      <c r="D184" t="s">
        <v>56</v>
      </c>
      <c r="E184" t="s">
        <v>10</v>
      </c>
      <c r="F184" t="s">
        <v>57</v>
      </c>
    </row>
    <row r="185" spans="1:6" x14ac:dyDescent="0.3">
      <c r="A185" t="s">
        <v>33</v>
      </c>
      <c r="B185" t="s">
        <v>55</v>
      </c>
      <c r="C185">
        <v>13.7</v>
      </c>
      <c r="D185" t="s">
        <v>56</v>
      </c>
      <c r="E185" t="s">
        <v>10</v>
      </c>
      <c r="F185" t="s">
        <v>57</v>
      </c>
    </row>
    <row r="186" spans="1:6" x14ac:dyDescent="0.3">
      <c r="A186" t="s">
        <v>34</v>
      </c>
      <c r="B186" t="s">
        <v>55</v>
      </c>
      <c r="C186">
        <v>11.8</v>
      </c>
      <c r="D186" t="s">
        <v>56</v>
      </c>
      <c r="E186" t="s">
        <v>10</v>
      </c>
      <c r="F186" t="s">
        <v>57</v>
      </c>
    </row>
    <row r="187" spans="1:6" x14ac:dyDescent="0.3">
      <c r="A187" t="s">
        <v>35</v>
      </c>
      <c r="B187" t="s">
        <v>55</v>
      </c>
      <c r="C187">
        <v>14.7</v>
      </c>
      <c r="D187" t="s">
        <v>56</v>
      </c>
      <c r="E187" t="s">
        <v>10</v>
      </c>
      <c r="F187" t="s">
        <v>57</v>
      </c>
    </row>
    <row r="188" spans="1:6" x14ac:dyDescent="0.3">
      <c r="A188" t="s">
        <v>36</v>
      </c>
      <c r="B188" t="s">
        <v>55</v>
      </c>
      <c r="C188">
        <v>15.1</v>
      </c>
      <c r="D188" t="s">
        <v>56</v>
      </c>
      <c r="E188" t="s">
        <v>10</v>
      </c>
      <c r="F188" t="s">
        <v>57</v>
      </c>
    </row>
    <row r="189" spans="1:6" x14ac:dyDescent="0.3">
      <c r="A189" t="s">
        <v>37</v>
      </c>
      <c r="B189" t="s">
        <v>55</v>
      </c>
      <c r="C189">
        <v>13.4</v>
      </c>
      <c r="D189" t="s">
        <v>56</v>
      </c>
      <c r="E189" t="s">
        <v>10</v>
      </c>
      <c r="F189" t="s">
        <v>57</v>
      </c>
    </row>
    <row r="190" spans="1:6" x14ac:dyDescent="0.3">
      <c r="A190" t="s">
        <v>38</v>
      </c>
      <c r="B190" t="s">
        <v>55</v>
      </c>
      <c r="C190">
        <v>15.9</v>
      </c>
      <c r="D190" t="s">
        <v>56</v>
      </c>
      <c r="E190" t="s">
        <v>10</v>
      </c>
      <c r="F190" t="s">
        <v>57</v>
      </c>
    </row>
    <row r="191" spans="1:6" x14ac:dyDescent="0.3">
      <c r="A191" t="s">
        <v>39</v>
      </c>
      <c r="B191" t="s">
        <v>55</v>
      </c>
      <c r="C191">
        <v>15.7</v>
      </c>
      <c r="D191" t="s">
        <v>56</v>
      </c>
      <c r="E191" t="s">
        <v>10</v>
      </c>
      <c r="F191" t="s">
        <v>57</v>
      </c>
    </row>
    <row r="192" spans="1:6" x14ac:dyDescent="0.3">
      <c r="A192" t="s">
        <v>40</v>
      </c>
      <c r="B192" t="s">
        <v>55</v>
      </c>
      <c r="C192">
        <v>13.5</v>
      </c>
      <c r="D192" t="s">
        <v>56</v>
      </c>
      <c r="E192" t="s">
        <v>10</v>
      </c>
      <c r="F192" t="s">
        <v>57</v>
      </c>
    </row>
    <row r="193" spans="1:6" x14ac:dyDescent="0.3">
      <c r="A193" t="s">
        <v>41</v>
      </c>
      <c r="B193" t="s">
        <v>55</v>
      </c>
      <c r="C193">
        <v>14.6</v>
      </c>
      <c r="D193" t="s">
        <v>56</v>
      </c>
      <c r="E193" t="s">
        <v>10</v>
      </c>
      <c r="F193" t="s">
        <v>57</v>
      </c>
    </row>
    <row r="194" spans="1:6" x14ac:dyDescent="0.3">
      <c r="A194" t="s">
        <v>7</v>
      </c>
      <c r="B194" t="s">
        <v>58</v>
      </c>
      <c r="C194">
        <v>32.332371709999997</v>
      </c>
      <c r="D194" t="s">
        <v>59</v>
      </c>
      <c r="E194" t="s">
        <v>10</v>
      </c>
      <c r="F194" t="s">
        <v>11</v>
      </c>
    </row>
    <row r="195" spans="1:6" x14ac:dyDescent="0.3">
      <c r="A195" t="s">
        <v>12</v>
      </c>
      <c r="B195" t="s">
        <v>58</v>
      </c>
      <c r="C195">
        <v>24.7869767</v>
      </c>
      <c r="D195" t="s">
        <v>59</v>
      </c>
      <c r="E195" t="s">
        <v>10</v>
      </c>
      <c r="F195" t="s">
        <v>11</v>
      </c>
    </row>
    <row r="196" spans="1:6" x14ac:dyDescent="0.3">
      <c r="A196" t="s">
        <v>13</v>
      </c>
      <c r="B196" t="s">
        <v>58</v>
      </c>
      <c r="C196">
        <v>28.51156508</v>
      </c>
      <c r="D196" t="s">
        <v>59</v>
      </c>
      <c r="E196" t="s">
        <v>10</v>
      </c>
      <c r="F196" t="s">
        <v>11</v>
      </c>
    </row>
    <row r="197" spans="1:6" x14ac:dyDescent="0.3">
      <c r="A197" t="s">
        <v>14</v>
      </c>
      <c r="B197" t="s">
        <v>58</v>
      </c>
      <c r="C197">
        <v>14.98217153</v>
      </c>
      <c r="D197" t="s">
        <v>59</v>
      </c>
      <c r="E197" t="s">
        <v>10</v>
      </c>
      <c r="F197" t="s">
        <v>11</v>
      </c>
    </row>
    <row r="198" spans="1:6" x14ac:dyDescent="0.3">
      <c r="A198" t="s">
        <v>15</v>
      </c>
      <c r="B198" t="s">
        <v>58</v>
      </c>
      <c r="C198">
        <v>18.136728179999999</v>
      </c>
      <c r="D198" t="s">
        <v>59</v>
      </c>
      <c r="E198" t="s">
        <v>10</v>
      </c>
      <c r="F198" t="s">
        <v>11</v>
      </c>
    </row>
    <row r="199" spans="1:6" x14ac:dyDescent="0.3">
      <c r="A199" t="s">
        <v>16</v>
      </c>
      <c r="B199" t="s">
        <v>58</v>
      </c>
      <c r="C199">
        <v>25.379710920000001</v>
      </c>
      <c r="D199" t="s">
        <v>59</v>
      </c>
      <c r="E199" t="s">
        <v>10</v>
      </c>
      <c r="F199" t="s">
        <v>11</v>
      </c>
    </row>
    <row r="200" spans="1:6" x14ac:dyDescent="0.3">
      <c r="A200" t="s">
        <v>17</v>
      </c>
      <c r="B200" t="s">
        <v>58</v>
      </c>
      <c r="C200">
        <v>17.708577439999999</v>
      </c>
      <c r="D200" t="s">
        <v>59</v>
      </c>
      <c r="E200" t="s">
        <v>10</v>
      </c>
      <c r="F200" t="s">
        <v>11</v>
      </c>
    </row>
    <row r="201" spans="1:6" x14ac:dyDescent="0.3">
      <c r="A201" t="s">
        <v>18</v>
      </c>
      <c r="B201" t="s">
        <v>58</v>
      </c>
      <c r="C201">
        <v>17.085647009999999</v>
      </c>
      <c r="D201" t="s">
        <v>59</v>
      </c>
      <c r="E201" t="s">
        <v>10</v>
      </c>
      <c r="F201" t="s">
        <v>11</v>
      </c>
    </row>
    <row r="202" spans="1:6" x14ac:dyDescent="0.3">
      <c r="A202" t="s">
        <v>19</v>
      </c>
      <c r="B202" t="s">
        <v>58</v>
      </c>
      <c r="C202">
        <v>30.075681849999999</v>
      </c>
      <c r="D202" t="s">
        <v>59</v>
      </c>
      <c r="E202" t="s">
        <v>10</v>
      </c>
      <c r="F202" t="s">
        <v>11</v>
      </c>
    </row>
    <row r="203" spans="1:6" x14ac:dyDescent="0.3">
      <c r="A203" t="s">
        <v>20</v>
      </c>
      <c r="B203" t="s">
        <v>58</v>
      </c>
      <c r="C203">
        <v>16.06787241</v>
      </c>
      <c r="D203" t="s">
        <v>59</v>
      </c>
      <c r="E203" t="s">
        <v>10</v>
      </c>
      <c r="F203" t="s">
        <v>11</v>
      </c>
    </row>
    <row r="204" spans="1:6" x14ac:dyDescent="0.3">
      <c r="A204" t="s">
        <v>21</v>
      </c>
      <c r="B204" t="s">
        <v>58</v>
      </c>
      <c r="C204">
        <v>15.731251930000001</v>
      </c>
      <c r="D204" t="s">
        <v>59</v>
      </c>
      <c r="E204" t="s">
        <v>10</v>
      </c>
      <c r="F204" t="s">
        <v>11</v>
      </c>
    </row>
    <row r="205" spans="1:6" x14ac:dyDescent="0.3">
      <c r="A205" t="s">
        <v>22</v>
      </c>
      <c r="B205" t="s">
        <v>58</v>
      </c>
      <c r="C205">
        <v>7.0572156039999996</v>
      </c>
      <c r="D205" t="s">
        <v>59</v>
      </c>
      <c r="E205" t="s">
        <v>10</v>
      </c>
      <c r="F205" t="s">
        <v>11</v>
      </c>
    </row>
    <row r="206" spans="1:6" x14ac:dyDescent="0.3">
      <c r="A206" t="s">
        <v>23</v>
      </c>
      <c r="B206" t="s">
        <v>58</v>
      </c>
      <c r="C206">
        <v>13.7910457</v>
      </c>
      <c r="D206" t="s">
        <v>59</v>
      </c>
      <c r="E206" t="s">
        <v>10</v>
      </c>
      <c r="F206" t="s">
        <v>11</v>
      </c>
    </row>
    <row r="207" spans="1:6" x14ac:dyDescent="0.3">
      <c r="A207" t="s">
        <v>24</v>
      </c>
      <c r="B207" t="s">
        <v>58</v>
      </c>
      <c r="C207">
        <v>28.529510470000002</v>
      </c>
      <c r="D207" t="s">
        <v>59</v>
      </c>
      <c r="E207" t="s">
        <v>10</v>
      </c>
      <c r="F207" t="s">
        <v>11</v>
      </c>
    </row>
    <row r="208" spans="1:6" x14ac:dyDescent="0.3">
      <c r="A208" t="s">
        <v>25</v>
      </c>
      <c r="B208" t="s">
        <v>58</v>
      </c>
      <c r="C208">
        <v>19.02439218</v>
      </c>
      <c r="D208" t="s">
        <v>59</v>
      </c>
      <c r="E208" t="s">
        <v>10</v>
      </c>
      <c r="F208" t="s">
        <v>11</v>
      </c>
    </row>
    <row r="209" spans="1:6" x14ac:dyDescent="0.3">
      <c r="A209" t="s">
        <v>26</v>
      </c>
      <c r="B209" t="s">
        <v>58</v>
      </c>
      <c r="C209">
        <v>19.20162028</v>
      </c>
      <c r="D209" t="s">
        <v>59</v>
      </c>
      <c r="E209" t="s">
        <v>10</v>
      </c>
      <c r="F209" t="s">
        <v>11</v>
      </c>
    </row>
    <row r="210" spans="1:6" x14ac:dyDescent="0.3">
      <c r="A210" t="s">
        <v>0</v>
      </c>
      <c r="B210" t="s">
        <v>58</v>
      </c>
      <c r="C210">
        <v>16.128515199999999</v>
      </c>
      <c r="D210" t="s">
        <v>59</v>
      </c>
      <c r="E210" t="s">
        <v>10</v>
      </c>
      <c r="F210" t="s">
        <v>11</v>
      </c>
    </row>
    <row r="211" spans="1:6" x14ac:dyDescent="0.3">
      <c r="A211" t="s">
        <v>27</v>
      </c>
      <c r="B211" t="s">
        <v>58</v>
      </c>
      <c r="C211">
        <v>18.874488020000001</v>
      </c>
      <c r="D211" t="s">
        <v>59</v>
      </c>
      <c r="E211" t="s">
        <v>10</v>
      </c>
      <c r="F211" t="s">
        <v>11</v>
      </c>
    </row>
    <row r="212" spans="1:6" x14ac:dyDescent="0.3">
      <c r="A212" t="s">
        <v>28</v>
      </c>
      <c r="B212" t="s">
        <v>58</v>
      </c>
      <c r="C212">
        <v>15.95539072</v>
      </c>
      <c r="D212" t="s">
        <v>59</v>
      </c>
      <c r="E212" t="s">
        <v>10</v>
      </c>
      <c r="F212" t="s">
        <v>11</v>
      </c>
    </row>
    <row r="213" spans="1:6" x14ac:dyDescent="0.3">
      <c r="A213" t="s">
        <v>29</v>
      </c>
      <c r="B213" t="s">
        <v>58</v>
      </c>
      <c r="C213">
        <v>5.2319555089999996</v>
      </c>
      <c r="D213" t="s">
        <v>59</v>
      </c>
      <c r="E213" t="s">
        <v>10</v>
      </c>
      <c r="F213" t="s">
        <v>11</v>
      </c>
    </row>
    <row r="214" spans="1:6" x14ac:dyDescent="0.3">
      <c r="A214" t="s">
        <v>30</v>
      </c>
      <c r="B214" t="s">
        <v>58</v>
      </c>
      <c r="C214">
        <v>16.31837466</v>
      </c>
      <c r="D214" t="s">
        <v>59</v>
      </c>
      <c r="E214" t="s">
        <v>10</v>
      </c>
      <c r="F214" t="s">
        <v>11</v>
      </c>
    </row>
    <row r="215" spans="1:6" x14ac:dyDescent="0.3">
      <c r="A215" t="s">
        <v>31</v>
      </c>
      <c r="B215" t="s">
        <v>58</v>
      </c>
      <c r="C215">
        <v>36.367112810000002</v>
      </c>
      <c r="D215" t="s">
        <v>59</v>
      </c>
      <c r="E215" t="s">
        <v>10</v>
      </c>
      <c r="F215" t="s">
        <v>11</v>
      </c>
    </row>
    <row r="216" spans="1:6" x14ac:dyDescent="0.3">
      <c r="A216" t="s">
        <v>32</v>
      </c>
      <c r="B216" t="s">
        <v>58</v>
      </c>
      <c r="C216">
        <v>18.518559830000001</v>
      </c>
      <c r="D216" t="s">
        <v>59</v>
      </c>
      <c r="E216" t="s">
        <v>10</v>
      </c>
      <c r="F216" t="s">
        <v>11</v>
      </c>
    </row>
    <row r="217" spans="1:6" x14ac:dyDescent="0.3">
      <c r="A217" t="s">
        <v>33</v>
      </c>
      <c r="B217" t="s">
        <v>58</v>
      </c>
      <c r="C217">
        <v>18.57183118</v>
      </c>
      <c r="D217" t="s">
        <v>59</v>
      </c>
      <c r="E217" t="s">
        <v>10</v>
      </c>
      <c r="F217" t="s">
        <v>11</v>
      </c>
    </row>
    <row r="218" spans="1:6" x14ac:dyDescent="0.3">
      <c r="A218" t="s">
        <v>34</v>
      </c>
      <c r="B218" t="s">
        <v>58</v>
      </c>
      <c r="C218">
        <v>19.593341760000001</v>
      </c>
      <c r="D218" t="s">
        <v>59</v>
      </c>
      <c r="E218" t="s">
        <v>10</v>
      </c>
      <c r="F218" t="s">
        <v>11</v>
      </c>
    </row>
    <row r="219" spans="1:6" x14ac:dyDescent="0.3">
      <c r="A219" t="s">
        <v>35</v>
      </c>
      <c r="B219" t="s">
        <v>58</v>
      </c>
      <c r="C219">
        <v>19.059925849999999</v>
      </c>
      <c r="D219" t="s">
        <v>59</v>
      </c>
      <c r="E219" t="s">
        <v>10</v>
      </c>
      <c r="F219" t="s">
        <v>11</v>
      </c>
    </row>
    <row r="220" spans="1:6" x14ac:dyDescent="0.3">
      <c r="A220" t="s">
        <v>36</v>
      </c>
      <c r="B220" t="s">
        <v>58</v>
      </c>
      <c r="C220">
        <v>8.0744805690000003</v>
      </c>
      <c r="D220" t="s">
        <v>59</v>
      </c>
      <c r="E220" t="s">
        <v>10</v>
      </c>
      <c r="F220" t="s">
        <v>11</v>
      </c>
    </row>
    <row r="221" spans="1:6" x14ac:dyDescent="0.3">
      <c r="A221" t="s">
        <v>37</v>
      </c>
      <c r="B221" t="s">
        <v>58</v>
      </c>
      <c r="C221">
        <v>17.497317160000001</v>
      </c>
      <c r="D221" t="s">
        <v>59</v>
      </c>
      <c r="E221" t="s">
        <v>10</v>
      </c>
      <c r="F221" t="s">
        <v>11</v>
      </c>
    </row>
    <row r="222" spans="1:6" x14ac:dyDescent="0.3">
      <c r="A222" t="s">
        <v>38</v>
      </c>
      <c r="B222" t="s">
        <v>58</v>
      </c>
      <c r="C222">
        <v>8.8954190929999992</v>
      </c>
      <c r="D222" t="s">
        <v>59</v>
      </c>
      <c r="E222" t="s">
        <v>10</v>
      </c>
      <c r="F222" t="s">
        <v>11</v>
      </c>
    </row>
    <row r="223" spans="1:6" x14ac:dyDescent="0.3">
      <c r="A223" t="s">
        <v>39</v>
      </c>
      <c r="B223" t="s">
        <v>58</v>
      </c>
      <c r="C223">
        <v>9.9007743589999997</v>
      </c>
      <c r="D223" t="s">
        <v>59</v>
      </c>
      <c r="E223" t="s">
        <v>10</v>
      </c>
      <c r="F223" t="s">
        <v>11</v>
      </c>
    </row>
    <row r="224" spans="1:6" x14ac:dyDescent="0.3">
      <c r="A224" t="s">
        <v>40</v>
      </c>
      <c r="B224" t="s">
        <v>58</v>
      </c>
      <c r="C224">
        <v>11.50650424</v>
      </c>
      <c r="D224" t="s">
        <v>59</v>
      </c>
      <c r="E224" t="s">
        <v>10</v>
      </c>
      <c r="F224" t="s">
        <v>11</v>
      </c>
    </row>
    <row r="225" spans="1:6" x14ac:dyDescent="0.3">
      <c r="A225" t="s">
        <v>41</v>
      </c>
      <c r="B225" t="s">
        <v>58</v>
      </c>
      <c r="C225">
        <v>27.09738965</v>
      </c>
      <c r="D225" t="s">
        <v>59</v>
      </c>
      <c r="E225" t="s">
        <v>10</v>
      </c>
      <c r="F225" t="s">
        <v>11</v>
      </c>
    </row>
    <row r="226" spans="1:6" x14ac:dyDescent="0.3">
      <c r="A226" t="s">
        <v>7</v>
      </c>
      <c r="B226" t="s">
        <v>60</v>
      </c>
      <c r="C226">
        <v>1.7944829900000001</v>
      </c>
      <c r="D226" t="s">
        <v>61</v>
      </c>
      <c r="E226" t="s">
        <v>47</v>
      </c>
      <c r="F226" t="s">
        <v>48</v>
      </c>
    </row>
    <row r="227" spans="1:6" x14ac:dyDescent="0.3">
      <c r="A227" t="s">
        <v>12</v>
      </c>
      <c r="B227" t="s">
        <v>60</v>
      </c>
      <c r="C227">
        <v>14.361117269999999</v>
      </c>
      <c r="D227" t="s">
        <v>61</v>
      </c>
      <c r="E227" t="s">
        <v>47</v>
      </c>
      <c r="F227" t="s">
        <v>48</v>
      </c>
    </row>
    <row r="228" spans="1:6" x14ac:dyDescent="0.3">
      <c r="A228" t="s">
        <v>13</v>
      </c>
      <c r="B228" t="s">
        <v>60</v>
      </c>
      <c r="C228">
        <v>3.2257246940000002</v>
      </c>
      <c r="D228" t="s">
        <v>61</v>
      </c>
      <c r="E228" t="s">
        <v>47</v>
      </c>
      <c r="F228" t="s">
        <v>48</v>
      </c>
    </row>
    <row r="229" spans="1:6" x14ac:dyDescent="0.3">
      <c r="A229" t="s">
        <v>14</v>
      </c>
      <c r="B229" t="s">
        <v>60</v>
      </c>
      <c r="C229">
        <v>1.44090736</v>
      </c>
      <c r="D229" t="s">
        <v>61</v>
      </c>
      <c r="E229" t="s">
        <v>47</v>
      </c>
      <c r="F229" t="s">
        <v>48</v>
      </c>
    </row>
    <row r="230" spans="1:6" x14ac:dyDescent="0.3">
      <c r="A230" t="s">
        <v>15</v>
      </c>
      <c r="B230" t="s">
        <v>60</v>
      </c>
      <c r="C230">
        <v>3.0481082270000002</v>
      </c>
      <c r="D230" t="s">
        <v>61</v>
      </c>
      <c r="E230" t="s">
        <v>47</v>
      </c>
      <c r="F230" t="s">
        <v>48</v>
      </c>
    </row>
    <row r="231" spans="1:6" x14ac:dyDescent="0.3">
      <c r="A231" t="s">
        <v>16</v>
      </c>
      <c r="B231" t="s">
        <v>60</v>
      </c>
      <c r="C231">
        <v>10.64307668</v>
      </c>
      <c r="D231" t="s">
        <v>61</v>
      </c>
      <c r="E231" t="s">
        <v>47</v>
      </c>
      <c r="F231" t="s">
        <v>48</v>
      </c>
    </row>
    <row r="232" spans="1:6" x14ac:dyDescent="0.3">
      <c r="A232" t="s">
        <v>17</v>
      </c>
      <c r="B232" t="s">
        <v>60</v>
      </c>
      <c r="C232">
        <v>2.9863744059999999</v>
      </c>
      <c r="D232" t="s">
        <v>61</v>
      </c>
      <c r="E232" t="s">
        <v>47</v>
      </c>
      <c r="F232" t="s">
        <v>48</v>
      </c>
    </row>
    <row r="233" spans="1:6" x14ac:dyDescent="0.3">
      <c r="A233" t="s">
        <v>18</v>
      </c>
      <c r="B233" t="s">
        <v>60</v>
      </c>
      <c r="C233">
        <v>1.6048187359999999</v>
      </c>
      <c r="D233" t="s">
        <v>61</v>
      </c>
      <c r="E233" t="s">
        <v>47</v>
      </c>
      <c r="F233" t="s">
        <v>48</v>
      </c>
    </row>
    <row r="234" spans="1:6" x14ac:dyDescent="0.3">
      <c r="A234" t="s">
        <v>19</v>
      </c>
      <c r="B234" t="s">
        <v>60</v>
      </c>
      <c r="C234">
        <v>31.43494007</v>
      </c>
      <c r="D234" t="s">
        <v>61</v>
      </c>
      <c r="E234" t="s">
        <v>47</v>
      </c>
      <c r="F234" t="s">
        <v>48</v>
      </c>
    </row>
    <row r="235" spans="1:6" x14ac:dyDescent="0.3">
      <c r="A235" t="s">
        <v>20</v>
      </c>
      <c r="B235" t="s">
        <v>60</v>
      </c>
      <c r="C235">
        <v>1.864485081</v>
      </c>
      <c r="D235" t="s">
        <v>61</v>
      </c>
      <c r="E235" t="s">
        <v>47</v>
      </c>
      <c r="F235" t="s">
        <v>48</v>
      </c>
    </row>
    <row r="236" spans="1:6" x14ac:dyDescent="0.3">
      <c r="A236" t="s">
        <v>21</v>
      </c>
      <c r="B236" t="s">
        <v>60</v>
      </c>
      <c r="C236">
        <v>11.46585561</v>
      </c>
      <c r="D236" t="s">
        <v>61</v>
      </c>
      <c r="E236" t="s">
        <v>47</v>
      </c>
      <c r="F236" t="s">
        <v>48</v>
      </c>
    </row>
    <row r="237" spans="1:6" x14ac:dyDescent="0.3">
      <c r="A237" t="s">
        <v>22</v>
      </c>
      <c r="B237" t="s">
        <v>60</v>
      </c>
      <c r="C237">
        <v>11.28166686</v>
      </c>
      <c r="D237" t="s">
        <v>61</v>
      </c>
      <c r="E237" t="s">
        <v>47</v>
      </c>
      <c r="F237" t="s">
        <v>48</v>
      </c>
    </row>
    <row r="238" spans="1:6" x14ac:dyDescent="0.3">
      <c r="A238" t="s">
        <v>23</v>
      </c>
      <c r="B238" t="s">
        <v>60</v>
      </c>
      <c r="C238">
        <v>2.5311388950000002</v>
      </c>
      <c r="D238" t="s">
        <v>61</v>
      </c>
      <c r="E238" t="s">
        <v>47</v>
      </c>
      <c r="F238" t="s">
        <v>48</v>
      </c>
    </row>
    <row r="239" spans="1:6" x14ac:dyDescent="0.3">
      <c r="A239" t="s">
        <v>24</v>
      </c>
      <c r="B239" t="s">
        <v>60</v>
      </c>
      <c r="C239">
        <v>4.0965514650000001</v>
      </c>
      <c r="D239" t="s">
        <v>61</v>
      </c>
      <c r="E239" t="s">
        <v>47</v>
      </c>
      <c r="F239" t="s">
        <v>48</v>
      </c>
    </row>
    <row r="240" spans="1:6" x14ac:dyDescent="0.3">
      <c r="A240" t="s">
        <v>25</v>
      </c>
      <c r="B240" t="s">
        <v>60</v>
      </c>
      <c r="C240">
        <v>6.5233075429999996</v>
      </c>
      <c r="D240" t="s">
        <v>61</v>
      </c>
      <c r="E240" t="s">
        <v>47</v>
      </c>
      <c r="F240" t="s">
        <v>48</v>
      </c>
    </row>
    <row r="241" spans="1:6" x14ac:dyDescent="0.3">
      <c r="A241" t="s">
        <v>26</v>
      </c>
      <c r="B241" t="s">
        <v>60</v>
      </c>
      <c r="C241">
        <v>12.878068369999999</v>
      </c>
      <c r="D241" t="s">
        <v>61</v>
      </c>
      <c r="E241" t="s">
        <v>47</v>
      </c>
      <c r="F241" t="s">
        <v>48</v>
      </c>
    </row>
    <row r="242" spans="1:6" x14ac:dyDescent="0.3">
      <c r="A242" t="s">
        <v>0</v>
      </c>
      <c r="B242" t="s">
        <v>60</v>
      </c>
      <c r="C242">
        <v>2.9901551070000001</v>
      </c>
      <c r="D242" t="s">
        <v>61</v>
      </c>
      <c r="E242" t="s">
        <v>47</v>
      </c>
      <c r="F242" t="s">
        <v>48</v>
      </c>
    </row>
    <row r="243" spans="1:6" x14ac:dyDescent="0.3">
      <c r="A243" t="s">
        <v>27</v>
      </c>
      <c r="B243" t="s">
        <v>60</v>
      </c>
      <c r="C243">
        <v>3.3324345860000002</v>
      </c>
      <c r="D243" t="s">
        <v>61</v>
      </c>
      <c r="E243" t="s">
        <v>47</v>
      </c>
      <c r="F243" t="s">
        <v>48</v>
      </c>
    </row>
    <row r="244" spans="1:6" x14ac:dyDescent="0.3">
      <c r="A244" t="s">
        <v>28</v>
      </c>
      <c r="B244" t="s">
        <v>60</v>
      </c>
      <c r="C244">
        <v>5.571183166</v>
      </c>
      <c r="D244" t="s">
        <v>61</v>
      </c>
      <c r="E244" t="s">
        <v>47</v>
      </c>
      <c r="F244" t="s">
        <v>48</v>
      </c>
    </row>
    <row r="245" spans="1:6" x14ac:dyDescent="0.3">
      <c r="A245" t="s">
        <v>29</v>
      </c>
      <c r="B245" t="s">
        <v>60</v>
      </c>
      <c r="C245">
        <v>4.7197366919999997</v>
      </c>
      <c r="D245" t="s">
        <v>61</v>
      </c>
      <c r="E245" t="s">
        <v>47</v>
      </c>
      <c r="F245" t="s">
        <v>48</v>
      </c>
    </row>
    <row r="246" spans="1:6" x14ac:dyDescent="0.3">
      <c r="A246" t="s">
        <v>30</v>
      </c>
      <c r="B246" t="s">
        <v>60</v>
      </c>
      <c r="C246">
        <v>3.9480186740000001</v>
      </c>
      <c r="D246" t="s">
        <v>61</v>
      </c>
      <c r="E246" t="s">
        <v>47</v>
      </c>
      <c r="F246" t="s">
        <v>48</v>
      </c>
    </row>
    <row r="247" spans="1:6" x14ac:dyDescent="0.3">
      <c r="A247" t="s">
        <v>31</v>
      </c>
      <c r="B247" t="s">
        <v>60</v>
      </c>
      <c r="C247">
        <v>2.1070581179999999</v>
      </c>
      <c r="D247" t="s">
        <v>61</v>
      </c>
      <c r="E247" t="s">
        <v>47</v>
      </c>
      <c r="F247" t="s">
        <v>48</v>
      </c>
    </row>
    <row r="248" spans="1:6" x14ac:dyDescent="0.3">
      <c r="A248" t="s">
        <v>32</v>
      </c>
      <c r="B248" t="s">
        <v>60</v>
      </c>
      <c r="C248">
        <v>6.645674155</v>
      </c>
      <c r="D248" t="s">
        <v>61</v>
      </c>
      <c r="E248" t="s">
        <v>47</v>
      </c>
      <c r="F248" t="s">
        <v>48</v>
      </c>
    </row>
    <row r="249" spans="1:6" x14ac:dyDescent="0.3">
      <c r="A249" t="s">
        <v>33</v>
      </c>
      <c r="B249" t="s">
        <v>60</v>
      </c>
      <c r="C249">
        <v>3.0965830849999998</v>
      </c>
      <c r="D249" t="s">
        <v>61</v>
      </c>
      <c r="E249" t="s">
        <v>47</v>
      </c>
      <c r="F249" t="s">
        <v>48</v>
      </c>
    </row>
    <row r="250" spans="1:6" x14ac:dyDescent="0.3">
      <c r="A250" t="s">
        <v>34</v>
      </c>
      <c r="B250" t="s">
        <v>60</v>
      </c>
      <c r="C250">
        <v>3.3786193459999998</v>
      </c>
      <c r="D250" t="s">
        <v>61</v>
      </c>
      <c r="E250" t="s">
        <v>47</v>
      </c>
      <c r="F250" t="s">
        <v>48</v>
      </c>
    </row>
    <row r="251" spans="1:6" x14ac:dyDescent="0.3">
      <c r="A251" t="s">
        <v>35</v>
      </c>
      <c r="B251" t="s">
        <v>60</v>
      </c>
      <c r="C251">
        <v>5.6280335590000004</v>
      </c>
      <c r="D251" t="s">
        <v>61</v>
      </c>
      <c r="E251" t="s">
        <v>47</v>
      </c>
      <c r="F251" t="s">
        <v>48</v>
      </c>
    </row>
    <row r="252" spans="1:6" x14ac:dyDescent="0.3">
      <c r="A252" t="s">
        <v>36</v>
      </c>
      <c r="B252" t="s">
        <v>60</v>
      </c>
      <c r="C252">
        <v>7.7785865039999997</v>
      </c>
      <c r="D252" t="s">
        <v>61</v>
      </c>
      <c r="E252" t="s">
        <v>47</v>
      </c>
      <c r="F252" t="s">
        <v>48</v>
      </c>
    </row>
    <row r="253" spans="1:6" x14ac:dyDescent="0.3">
      <c r="A253" t="s">
        <v>37</v>
      </c>
      <c r="B253" t="s">
        <v>60</v>
      </c>
      <c r="C253">
        <v>2.1303406310000002</v>
      </c>
      <c r="D253" t="s">
        <v>61</v>
      </c>
      <c r="E253" t="s">
        <v>47</v>
      </c>
      <c r="F253" t="s">
        <v>48</v>
      </c>
    </row>
    <row r="254" spans="1:6" x14ac:dyDescent="0.3">
      <c r="A254" t="s">
        <v>38</v>
      </c>
      <c r="B254" t="s">
        <v>60</v>
      </c>
      <c r="C254">
        <v>2.8460567879999998</v>
      </c>
      <c r="D254" t="s">
        <v>61</v>
      </c>
      <c r="E254" t="s">
        <v>47</v>
      </c>
      <c r="F254" t="s">
        <v>48</v>
      </c>
    </row>
    <row r="255" spans="1:6" x14ac:dyDescent="0.3">
      <c r="A255" t="s">
        <v>39</v>
      </c>
      <c r="B255" t="s">
        <v>60</v>
      </c>
      <c r="C255">
        <v>3.1258191960000001</v>
      </c>
      <c r="D255" t="s">
        <v>61</v>
      </c>
      <c r="E255" t="s">
        <v>47</v>
      </c>
      <c r="F255" t="s">
        <v>48</v>
      </c>
    </row>
    <row r="256" spans="1:6" x14ac:dyDescent="0.3">
      <c r="A256" t="s">
        <v>40</v>
      </c>
      <c r="B256" t="s">
        <v>60</v>
      </c>
      <c r="C256">
        <v>0.79320320040000003</v>
      </c>
      <c r="D256" t="s">
        <v>61</v>
      </c>
      <c r="E256" t="s">
        <v>47</v>
      </c>
      <c r="F256" t="s">
        <v>48</v>
      </c>
    </row>
    <row r="257" spans="1:6" x14ac:dyDescent="0.3">
      <c r="A257" t="s">
        <v>41</v>
      </c>
      <c r="B257" t="s">
        <v>60</v>
      </c>
      <c r="C257">
        <v>5.1858015059999998</v>
      </c>
      <c r="D257" t="s">
        <v>61</v>
      </c>
      <c r="E257" t="s">
        <v>47</v>
      </c>
      <c r="F257" t="s">
        <v>48</v>
      </c>
    </row>
    <row r="258" spans="1:6" x14ac:dyDescent="0.3">
      <c r="A258" t="s">
        <v>7</v>
      </c>
      <c r="B258" t="s">
        <v>62</v>
      </c>
      <c r="C258">
        <v>41.393999999999998</v>
      </c>
      <c r="D258" t="s">
        <v>63</v>
      </c>
      <c r="E258" t="s">
        <v>10</v>
      </c>
      <c r="F258" t="s">
        <v>11</v>
      </c>
    </row>
    <row r="259" spans="1:6" x14ac:dyDescent="0.3">
      <c r="A259" t="s">
        <v>12</v>
      </c>
      <c r="B259" t="s">
        <v>62</v>
      </c>
      <c r="C259">
        <v>36.347000000000001</v>
      </c>
      <c r="D259" t="s">
        <v>63</v>
      </c>
      <c r="E259" t="s">
        <v>10</v>
      </c>
      <c r="F259" t="s">
        <v>11</v>
      </c>
    </row>
    <row r="260" spans="1:6" x14ac:dyDescent="0.3">
      <c r="A260" t="s">
        <v>13</v>
      </c>
      <c r="B260" t="s">
        <v>62</v>
      </c>
      <c r="C260">
        <v>37.000999999999998</v>
      </c>
      <c r="D260" t="s">
        <v>63</v>
      </c>
      <c r="E260" t="s">
        <v>10</v>
      </c>
      <c r="F260" t="s">
        <v>11</v>
      </c>
    </row>
    <row r="261" spans="1:6" x14ac:dyDescent="0.3">
      <c r="A261" t="s">
        <v>14</v>
      </c>
      <c r="B261" t="s">
        <v>62</v>
      </c>
      <c r="C261">
        <v>59.337000000000003</v>
      </c>
      <c r="D261" t="s">
        <v>63</v>
      </c>
      <c r="E261" t="s">
        <v>10</v>
      </c>
      <c r="F261" t="s">
        <v>11</v>
      </c>
    </row>
    <row r="262" spans="1:6" x14ac:dyDescent="0.3">
      <c r="A262" t="s">
        <v>15</v>
      </c>
      <c r="B262" t="s">
        <v>62</v>
      </c>
      <c r="C262">
        <v>71.028000000000006</v>
      </c>
      <c r="D262" t="s">
        <v>63</v>
      </c>
      <c r="E262" t="s">
        <v>10</v>
      </c>
      <c r="F262" t="s">
        <v>11</v>
      </c>
    </row>
    <row r="263" spans="1:6" x14ac:dyDescent="0.3">
      <c r="A263" t="s">
        <v>16</v>
      </c>
      <c r="B263" t="s">
        <v>62</v>
      </c>
      <c r="C263">
        <v>31.305</v>
      </c>
      <c r="D263" t="s">
        <v>63</v>
      </c>
      <c r="E263" t="s">
        <v>10</v>
      </c>
      <c r="F263" t="s">
        <v>11</v>
      </c>
    </row>
    <row r="264" spans="1:6" x14ac:dyDescent="0.3">
      <c r="A264" t="s">
        <v>17</v>
      </c>
      <c r="B264" t="s">
        <v>62</v>
      </c>
      <c r="C264">
        <v>46.264000000000003</v>
      </c>
      <c r="D264" t="s">
        <v>63</v>
      </c>
      <c r="E264" t="s">
        <v>10</v>
      </c>
      <c r="F264" t="s">
        <v>11</v>
      </c>
    </row>
    <row r="265" spans="1:6" x14ac:dyDescent="0.3">
      <c r="A265" t="s">
        <v>18</v>
      </c>
      <c r="B265" t="s">
        <v>62</v>
      </c>
      <c r="C265">
        <v>37.9</v>
      </c>
      <c r="D265" t="s">
        <v>63</v>
      </c>
      <c r="E265" t="s">
        <v>10</v>
      </c>
      <c r="F265" t="s">
        <v>11</v>
      </c>
    </row>
    <row r="266" spans="1:6" x14ac:dyDescent="0.3">
      <c r="A266" t="s">
        <v>19</v>
      </c>
      <c r="B266" t="s">
        <v>62</v>
      </c>
      <c r="C266">
        <v>46.292999999999999</v>
      </c>
      <c r="D266" t="s">
        <v>63</v>
      </c>
      <c r="E266" t="s">
        <v>10</v>
      </c>
      <c r="F266" t="s">
        <v>11</v>
      </c>
    </row>
    <row r="267" spans="1:6" x14ac:dyDescent="0.3">
      <c r="A267" t="s">
        <v>20</v>
      </c>
      <c r="B267" t="s">
        <v>62</v>
      </c>
      <c r="C267">
        <v>51.954000000000001</v>
      </c>
      <c r="D267" t="s">
        <v>63</v>
      </c>
      <c r="E267" t="s">
        <v>10</v>
      </c>
      <c r="F267" t="s">
        <v>11</v>
      </c>
    </row>
    <row r="268" spans="1:6" x14ac:dyDescent="0.3">
      <c r="A268" t="s">
        <v>21</v>
      </c>
      <c r="B268" t="s">
        <v>62</v>
      </c>
      <c r="C268">
        <v>56.195</v>
      </c>
      <c r="D268" t="s">
        <v>63</v>
      </c>
      <c r="E268" t="s">
        <v>10</v>
      </c>
      <c r="F268" t="s">
        <v>11</v>
      </c>
    </row>
    <row r="269" spans="1:6" x14ac:dyDescent="0.3">
      <c r="A269" t="s">
        <v>22</v>
      </c>
      <c r="B269" t="s">
        <v>62</v>
      </c>
      <c r="C269">
        <v>75.956999999999994</v>
      </c>
      <c r="D269" t="s">
        <v>63</v>
      </c>
      <c r="E269" t="s">
        <v>10</v>
      </c>
      <c r="F269" t="s">
        <v>11</v>
      </c>
    </row>
    <row r="270" spans="1:6" x14ac:dyDescent="0.3">
      <c r="A270" t="s">
        <v>23</v>
      </c>
      <c r="B270" t="s">
        <v>62</v>
      </c>
      <c r="C270">
        <v>70.638999999999996</v>
      </c>
      <c r="D270" t="s">
        <v>63</v>
      </c>
      <c r="E270" t="s">
        <v>10</v>
      </c>
      <c r="F270" t="s">
        <v>11</v>
      </c>
    </row>
    <row r="271" spans="1:6" x14ac:dyDescent="0.3">
      <c r="A271" t="s">
        <v>24</v>
      </c>
      <c r="B271" t="s">
        <v>62</v>
      </c>
      <c r="C271">
        <v>47.582000000000001</v>
      </c>
      <c r="D271" t="s">
        <v>63</v>
      </c>
      <c r="E271" t="s">
        <v>10</v>
      </c>
      <c r="F271" t="s">
        <v>11</v>
      </c>
    </row>
    <row r="272" spans="1:6" x14ac:dyDescent="0.3">
      <c r="A272" t="s">
        <v>25</v>
      </c>
      <c r="B272" t="s">
        <v>62</v>
      </c>
      <c r="C272">
        <v>65.489000000000004</v>
      </c>
      <c r="D272" t="s">
        <v>63</v>
      </c>
      <c r="E272" t="s">
        <v>10</v>
      </c>
      <c r="F272" t="s">
        <v>11</v>
      </c>
    </row>
    <row r="273" spans="1:6" x14ac:dyDescent="0.3">
      <c r="A273" t="s">
        <v>26</v>
      </c>
      <c r="B273" t="s">
        <v>62</v>
      </c>
      <c r="C273">
        <v>66.527000000000001</v>
      </c>
      <c r="D273" t="s">
        <v>63</v>
      </c>
      <c r="E273" t="s">
        <v>10</v>
      </c>
      <c r="F273" t="s">
        <v>11</v>
      </c>
    </row>
    <row r="274" spans="1:6" x14ac:dyDescent="0.3">
      <c r="A274" t="s">
        <v>0</v>
      </c>
      <c r="B274" t="s">
        <v>62</v>
      </c>
      <c r="C274">
        <v>54.622</v>
      </c>
      <c r="D274" t="s">
        <v>63</v>
      </c>
      <c r="E274" t="s">
        <v>10</v>
      </c>
      <c r="F274" t="s">
        <v>11</v>
      </c>
    </row>
    <row r="275" spans="1:6" x14ac:dyDescent="0.3">
      <c r="A275" t="s">
        <v>27</v>
      </c>
      <c r="B275" t="s">
        <v>62</v>
      </c>
      <c r="C275">
        <v>58.884</v>
      </c>
      <c r="D275" t="s">
        <v>63</v>
      </c>
      <c r="E275" t="s">
        <v>10</v>
      </c>
      <c r="F275" t="s">
        <v>11</v>
      </c>
    </row>
    <row r="276" spans="1:6" x14ac:dyDescent="0.3">
      <c r="A276" t="s">
        <v>28</v>
      </c>
      <c r="B276" t="s">
        <v>62</v>
      </c>
      <c r="C276">
        <v>38.784999999999997</v>
      </c>
      <c r="D276" t="s">
        <v>63</v>
      </c>
      <c r="E276" t="s">
        <v>10</v>
      </c>
      <c r="F276" t="s">
        <v>11</v>
      </c>
    </row>
    <row r="277" spans="1:6" x14ac:dyDescent="0.3">
      <c r="A277" t="s">
        <v>29</v>
      </c>
      <c r="B277" t="s">
        <v>62</v>
      </c>
      <c r="C277">
        <v>78.515000000000001</v>
      </c>
      <c r="D277" t="s">
        <v>63</v>
      </c>
      <c r="E277" t="s">
        <v>10</v>
      </c>
      <c r="F277" t="s">
        <v>11</v>
      </c>
    </row>
    <row r="278" spans="1:6" x14ac:dyDescent="0.3">
      <c r="A278" t="s">
        <v>30</v>
      </c>
      <c r="B278" t="s">
        <v>62</v>
      </c>
      <c r="C278">
        <v>69.510000000000005</v>
      </c>
      <c r="D278" t="s">
        <v>63</v>
      </c>
      <c r="E278" t="s">
        <v>10</v>
      </c>
      <c r="F278" t="s">
        <v>11</v>
      </c>
    </row>
    <row r="279" spans="1:6" x14ac:dyDescent="0.3">
      <c r="A279" t="s">
        <v>31</v>
      </c>
      <c r="B279" t="s">
        <v>62</v>
      </c>
      <c r="C279">
        <v>45.267000000000003</v>
      </c>
      <c r="D279" t="s">
        <v>63</v>
      </c>
      <c r="E279" t="s">
        <v>10</v>
      </c>
      <c r="F279" t="s">
        <v>11</v>
      </c>
    </row>
    <row r="280" spans="1:6" x14ac:dyDescent="0.3">
      <c r="A280" t="s">
        <v>32</v>
      </c>
      <c r="B280" t="s">
        <v>62</v>
      </c>
      <c r="C280">
        <v>45.506999999999998</v>
      </c>
      <c r="D280" t="s">
        <v>63</v>
      </c>
      <c r="E280" t="s">
        <v>10</v>
      </c>
      <c r="F280" t="s">
        <v>11</v>
      </c>
    </row>
    <row r="281" spans="1:6" x14ac:dyDescent="0.3">
      <c r="A281" t="s">
        <v>33</v>
      </c>
      <c r="B281" t="s">
        <v>62</v>
      </c>
      <c r="C281">
        <v>54.357999999999997</v>
      </c>
      <c r="D281" t="s">
        <v>63</v>
      </c>
      <c r="E281" t="s">
        <v>10</v>
      </c>
      <c r="F281" t="s">
        <v>11</v>
      </c>
    </row>
    <row r="282" spans="1:6" x14ac:dyDescent="0.3">
      <c r="A282" t="s">
        <v>34</v>
      </c>
      <c r="B282" t="s">
        <v>62</v>
      </c>
      <c r="C282">
        <v>45.597000000000001</v>
      </c>
      <c r="D282" t="s">
        <v>63</v>
      </c>
      <c r="E282" t="s">
        <v>10</v>
      </c>
      <c r="F282" t="s">
        <v>11</v>
      </c>
    </row>
    <row r="283" spans="1:6" x14ac:dyDescent="0.3">
      <c r="A283" t="s">
        <v>35</v>
      </c>
      <c r="B283" t="s">
        <v>62</v>
      </c>
      <c r="C283">
        <v>40.298000000000002</v>
      </c>
      <c r="D283" t="s">
        <v>63</v>
      </c>
      <c r="E283" t="s">
        <v>10</v>
      </c>
      <c r="F283" t="s">
        <v>11</v>
      </c>
    </row>
    <row r="284" spans="1:6" x14ac:dyDescent="0.3">
      <c r="A284" t="s">
        <v>36</v>
      </c>
      <c r="B284" t="s">
        <v>62</v>
      </c>
      <c r="C284">
        <v>63.359000000000002</v>
      </c>
      <c r="D284" t="s">
        <v>63</v>
      </c>
      <c r="E284" t="s">
        <v>10</v>
      </c>
      <c r="F284" t="s">
        <v>11</v>
      </c>
    </row>
    <row r="285" spans="1:6" x14ac:dyDescent="0.3">
      <c r="A285" t="s">
        <v>37</v>
      </c>
      <c r="B285" t="s">
        <v>62</v>
      </c>
      <c r="C285">
        <v>46.956000000000003</v>
      </c>
      <c r="D285" t="s">
        <v>63</v>
      </c>
      <c r="E285" t="s">
        <v>10</v>
      </c>
      <c r="F285" t="s">
        <v>11</v>
      </c>
    </row>
    <row r="286" spans="1:6" x14ac:dyDescent="0.3">
      <c r="A286" t="s">
        <v>38</v>
      </c>
      <c r="B286" t="s">
        <v>62</v>
      </c>
      <c r="C286">
        <v>69.516000000000005</v>
      </c>
      <c r="D286" t="s">
        <v>63</v>
      </c>
      <c r="E286" t="s">
        <v>10</v>
      </c>
      <c r="F286" t="s">
        <v>11</v>
      </c>
    </row>
    <row r="287" spans="1:6" x14ac:dyDescent="0.3">
      <c r="A287" t="s">
        <v>39</v>
      </c>
      <c r="B287" t="s">
        <v>62</v>
      </c>
      <c r="C287">
        <v>69.396000000000001</v>
      </c>
      <c r="D287" t="s">
        <v>63</v>
      </c>
      <c r="E287" t="s">
        <v>10</v>
      </c>
      <c r="F287" t="s">
        <v>11</v>
      </c>
    </row>
    <row r="288" spans="1:6" x14ac:dyDescent="0.3">
      <c r="A288" t="s">
        <v>40</v>
      </c>
      <c r="B288" t="s">
        <v>62</v>
      </c>
      <c r="C288">
        <v>63.145000000000003</v>
      </c>
      <c r="D288" t="s">
        <v>63</v>
      </c>
      <c r="E288" t="s">
        <v>10</v>
      </c>
      <c r="F288" t="s">
        <v>11</v>
      </c>
    </row>
    <row r="289" spans="1:6" x14ac:dyDescent="0.3">
      <c r="A289" t="s">
        <v>41</v>
      </c>
      <c r="B289" t="s">
        <v>62</v>
      </c>
      <c r="C289">
        <v>55.244999999999997</v>
      </c>
      <c r="D289" t="s">
        <v>63</v>
      </c>
      <c r="E289" t="s">
        <v>10</v>
      </c>
      <c r="F289" t="s">
        <v>11</v>
      </c>
    </row>
    <row r="290" spans="1:6" x14ac:dyDescent="0.3">
      <c r="A290" t="s">
        <v>7</v>
      </c>
      <c r="B290" t="s">
        <v>64</v>
      </c>
      <c r="C290">
        <v>24.6</v>
      </c>
      <c r="D290" t="s">
        <v>65</v>
      </c>
      <c r="E290" t="s">
        <v>10</v>
      </c>
      <c r="F290" t="s">
        <v>66</v>
      </c>
    </row>
    <row r="291" spans="1:6" x14ac:dyDescent="0.3">
      <c r="A291" t="s">
        <v>12</v>
      </c>
      <c r="B291" t="s">
        <v>64</v>
      </c>
      <c r="C291">
        <v>28</v>
      </c>
      <c r="D291" t="s">
        <v>65</v>
      </c>
      <c r="E291" t="s">
        <v>10</v>
      </c>
      <c r="F291" t="s">
        <v>66</v>
      </c>
    </row>
    <row r="292" spans="1:6" x14ac:dyDescent="0.3">
      <c r="A292" t="s">
        <v>13</v>
      </c>
      <c r="B292" t="s">
        <v>64</v>
      </c>
      <c r="C292">
        <v>19.899999999999999</v>
      </c>
      <c r="D292" t="s">
        <v>65</v>
      </c>
      <c r="E292" t="s">
        <v>10</v>
      </c>
      <c r="F292" t="s">
        <v>66</v>
      </c>
    </row>
    <row r="293" spans="1:6" x14ac:dyDescent="0.3">
      <c r="A293" t="s">
        <v>14</v>
      </c>
      <c r="B293" t="s">
        <v>64</v>
      </c>
      <c r="C293">
        <v>19.2</v>
      </c>
      <c r="D293" t="s">
        <v>65</v>
      </c>
      <c r="E293" t="s">
        <v>10</v>
      </c>
      <c r="F293" t="s">
        <v>66</v>
      </c>
    </row>
    <row r="294" spans="1:6" x14ac:dyDescent="0.3">
      <c r="A294" t="s">
        <v>15</v>
      </c>
      <c r="B294" t="s">
        <v>64</v>
      </c>
      <c r="C294">
        <v>21.5</v>
      </c>
      <c r="D294" t="s">
        <v>65</v>
      </c>
      <c r="E294" t="s">
        <v>10</v>
      </c>
      <c r="F294" t="s">
        <v>66</v>
      </c>
    </row>
    <row r="295" spans="1:6" x14ac:dyDescent="0.3">
      <c r="A295" t="s">
        <v>16</v>
      </c>
      <c r="B295" t="s">
        <v>64</v>
      </c>
      <c r="C295">
        <v>32.6</v>
      </c>
      <c r="D295" t="s">
        <v>65</v>
      </c>
      <c r="E295" t="s">
        <v>10</v>
      </c>
      <c r="F295" t="s">
        <v>66</v>
      </c>
    </row>
    <row r="296" spans="1:6" x14ac:dyDescent="0.3">
      <c r="A296" t="s">
        <v>17</v>
      </c>
      <c r="B296" t="s">
        <v>64</v>
      </c>
      <c r="C296">
        <v>25.2</v>
      </c>
      <c r="D296" t="s">
        <v>65</v>
      </c>
      <c r="E296" t="s">
        <v>10</v>
      </c>
      <c r="F296" t="s">
        <v>66</v>
      </c>
    </row>
    <row r="297" spans="1:6" x14ac:dyDescent="0.3">
      <c r="A297" t="s">
        <v>18</v>
      </c>
      <c r="B297" t="s">
        <v>64</v>
      </c>
      <c r="C297">
        <v>20.399999999999999</v>
      </c>
      <c r="D297" t="s">
        <v>65</v>
      </c>
      <c r="E297" t="s">
        <v>10</v>
      </c>
      <c r="F297" t="s">
        <v>66</v>
      </c>
    </row>
    <row r="298" spans="1:6" x14ac:dyDescent="0.3">
      <c r="A298" t="s">
        <v>19</v>
      </c>
      <c r="B298" t="s">
        <v>64</v>
      </c>
      <c r="C298">
        <v>37.9</v>
      </c>
      <c r="D298" t="s">
        <v>65</v>
      </c>
      <c r="E298" t="s">
        <v>10</v>
      </c>
      <c r="F298" t="s">
        <v>66</v>
      </c>
    </row>
    <row r="299" spans="1:6" x14ac:dyDescent="0.3">
      <c r="A299" t="s">
        <v>20</v>
      </c>
      <c r="B299" t="s">
        <v>64</v>
      </c>
      <c r="C299">
        <v>22.1</v>
      </c>
      <c r="D299" t="s">
        <v>65</v>
      </c>
      <c r="E299" t="s">
        <v>10</v>
      </c>
      <c r="F299" t="s">
        <v>66</v>
      </c>
    </row>
    <row r="300" spans="1:6" x14ac:dyDescent="0.3">
      <c r="A300" t="s">
        <v>21</v>
      </c>
      <c r="B300" t="s">
        <v>64</v>
      </c>
      <c r="C300">
        <v>27.8</v>
      </c>
      <c r="D300" t="s">
        <v>65</v>
      </c>
      <c r="E300" t="s">
        <v>10</v>
      </c>
      <c r="F300" t="s">
        <v>66</v>
      </c>
    </row>
    <row r="301" spans="1:6" x14ac:dyDescent="0.3">
      <c r="A301" t="s">
        <v>22</v>
      </c>
      <c r="B301" t="s">
        <v>64</v>
      </c>
      <c r="C301">
        <v>17.5</v>
      </c>
      <c r="D301" t="s">
        <v>65</v>
      </c>
      <c r="E301" t="s">
        <v>10</v>
      </c>
      <c r="F301" t="s">
        <v>66</v>
      </c>
    </row>
    <row r="302" spans="1:6" x14ac:dyDescent="0.3">
      <c r="A302" t="s">
        <v>23</v>
      </c>
      <c r="B302" t="s">
        <v>64</v>
      </c>
      <c r="C302">
        <v>22.1</v>
      </c>
      <c r="D302" t="s">
        <v>65</v>
      </c>
      <c r="E302" t="s">
        <v>10</v>
      </c>
      <c r="F302" t="s">
        <v>66</v>
      </c>
    </row>
    <row r="303" spans="1:6" x14ac:dyDescent="0.3">
      <c r="A303" t="s">
        <v>24</v>
      </c>
      <c r="B303" t="s">
        <v>64</v>
      </c>
      <c r="C303">
        <v>24.7</v>
      </c>
      <c r="D303" t="s">
        <v>65</v>
      </c>
      <c r="E303" t="s">
        <v>10</v>
      </c>
      <c r="F303" t="s">
        <v>66</v>
      </c>
    </row>
    <row r="304" spans="1:6" x14ac:dyDescent="0.3">
      <c r="A304" t="s">
        <v>25</v>
      </c>
      <c r="B304" t="s">
        <v>64</v>
      </c>
      <c r="C304">
        <v>18.5</v>
      </c>
      <c r="D304" t="s">
        <v>65</v>
      </c>
      <c r="E304" t="s">
        <v>10</v>
      </c>
      <c r="F304" t="s">
        <v>66</v>
      </c>
    </row>
    <row r="305" spans="1:6" x14ac:dyDescent="0.3">
      <c r="A305" t="s">
        <v>26</v>
      </c>
      <c r="B305" t="s">
        <v>64</v>
      </c>
      <c r="C305">
        <v>24</v>
      </c>
      <c r="D305" t="s">
        <v>65</v>
      </c>
      <c r="E305" t="s">
        <v>10</v>
      </c>
      <c r="F305" t="s">
        <v>66</v>
      </c>
    </row>
    <row r="306" spans="1:6" x14ac:dyDescent="0.3">
      <c r="A306" t="s">
        <v>0</v>
      </c>
      <c r="B306" t="s">
        <v>64</v>
      </c>
      <c r="C306">
        <v>36.6</v>
      </c>
      <c r="D306" t="s">
        <v>65</v>
      </c>
      <c r="E306" t="s">
        <v>10</v>
      </c>
      <c r="F306" t="s">
        <v>66</v>
      </c>
    </row>
    <row r="307" spans="1:6" x14ac:dyDescent="0.3">
      <c r="A307" t="s">
        <v>27</v>
      </c>
      <c r="B307" t="s">
        <v>64</v>
      </c>
      <c r="C307">
        <v>13.8</v>
      </c>
      <c r="D307" t="s">
        <v>65</v>
      </c>
      <c r="E307" t="s">
        <v>10</v>
      </c>
      <c r="F307" t="s">
        <v>66</v>
      </c>
    </row>
    <row r="308" spans="1:6" x14ac:dyDescent="0.3">
      <c r="A308" t="s">
        <v>28</v>
      </c>
      <c r="B308" t="s">
        <v>64</v>
      </c>
      <c r="C308">
        <v>32</v>
      </c>
      <c r="D308" t="s">
        <v>65</v>
      </c>
      <c r="E308" t="s">
        <v>10</v>
      </c>
      <c r="F308" t="s">
        <v>66</v>
      </c>
    </row>
    <row r="309" spans="1:6" x14ac:dyDescent="0.3">
      <c r="A309" t="s">
        <v>29</v>
      </c>
      <c r="B309" t="s">
        <v>64</v>
      </c>
      <c r="C309">
        <v>15.1</v>
      </c>
      <c r="D309" t="s">
        <v>65</v>
      </c>
      <c r="E309" t="s">
        <v>10</v>
      </c>
      <c r="F309" t="s">
        <v>66</v>
      </c>
    </row>
    <row r="310" spans="1:6" x14ac:dyDescent="0.3">
      <c r="A310" t="s">
        <v>30</v>
      </c>
      <c r="B310" t="s">
        <v>64</v>
      </c>
      <c r="C310">
        <v>20.9</v>
      </c>
      <c r="D310" t="s">
        <v>65</v>
      </c>
      <c r="E310" t="s">
        <v>10</v>
      </c>
      <c r="F310" t="s">
        <v>66</v>
      </c>
    </row>
    <row r="311" spans="1:6" x14ac:dyDescent="0.3">
      <c r="A311" t="s">
        <v>31</v>
      </c>
      <c r="B311" t="s">
        <v>64</v>
      </c>
      <c r="C311">
        <v>23</v>
      </c>
      <c r="D311" t="s">
        <v>65</v>
      </c>
      <c r="E311" t="s">
        <v>10</v>
      </c>
      <c r="F311" t="s">
        <v>66</v>
      </c>
    </row>
    <row r="312" spans="1:6" x14ac:dyDescent="0.3">
      <c r="A312" t="s">
        <v>32</v>
      </c>
      <c r="B312" t="s">
        <v>64</v>
      </c>
      <c r="C312">
        <v>29.3</v>
      </c>
      <c r="D312" t="s">
        <v>65</v>
      </c>
      <c r="E312" t="s">
        <v>10</v>
      </c>
      <c r="F312" t="s">
        <v>66</v>
      </c>
    </row>
    <row r="313" spans="1:6" x14ac:dyDescent="0.3">
      <c r="A313" t="s">
        <v>33</v>
      </c>
      <c r="B313" t="s">
        <v>64</v>
      </c>
      <c r="C313">
        <v>23.4</v>
      </c>
      <c r="D313" t="s">
        <v>65</v>
      </c>
      <c r="E313" t="s">
        <v>10</v>
      </c>
      <c r="F313" t="s">
        <v>66</v>
      </c>
    </row>
    <row r="314" spans="1:6" x14ac:dyDescent="0.3">
      <c r="A314" t="s">
        <v>34</v>
      </c>
      <c r="B314" t="s">
        <v>64</v>
      </c>
      <c r="C314">
        <v>31.5</v>
      </c>
      <c r="D314" t="s">
        <v>65</v>
      </c>
      <c r="E314" t="s">
        <v>10</v>
      </c>
      <c r="F314" t="s">
        <v>66</v>
      </c>
    </row>
    <row r="315" spans="1:6" x14ac:dyDescent="0.3">
      <c r="A315" t="s">
        <v>35</v>
      </c>
      <c r="B315" t="s">
        <v>64</v>
      </c>
      <c r="C315">
        <v>19.399999999999999</v>
      </c>
      <c r="D315" t="s">
        <v>65</v>
      </c>
      <c r="E315" t="s">
        <v>10</v>
      </c>
      <c r="F315" t="s">
        <v>66</v>
      </c>
    </row>
    <row r="316" spans="1:6" x14ac:dyDescent="0.3">
      <c r="A316" t="s">
        <v>36</v>
      </c>
      <c r="B316" t="s">
        <v>64</v>
      </c>
      <c r="C316">
        <v>24.9</v>
      </c>
      <c r="D316" t="s">
        <v>65</v>
      </c>
      <c r="E316" t="s">
        <v>10</v>
      </c>
      <c r="F316" t="s">
        <v>66</v>
      </c>
    </row>
    <row r="317" spans="1:6" x14ac:dyDescent="0.3">
      <c r="A317" t="s">
        <v>37</v>
      </c>
      <c r="B317" t="s">
        <v>64</v>
      </c>
      <c r="C317">
        <v>27.4</v>
      </c>
      <c r="D317" t="s">
        <v>65</v>
      </c>
      <c r="E317" t="s">
        <v>10</v>
      </c>
      <c r="F317" t="s">
        <v>66</v>
      </c>
    </row>
    <row r="318" spans="1:6" x14ac:dyDescent="0.3">
      <c r="A318" t="s">
        <v>38</v>
      </c>
      <c r="B318" t="s">
        <v>64</v>
      </c>
      <c r="C318">
        <v>18.399999999999999</v>
      </c>
      <c r="D318" t="s">
        <v>65</v>
      </c>
      <c r="E318" t="s">
        <v>10</v>
      </c>
      <c r="F318" t="s">
        <v>66</v>
      </c>
    </row>
    <row r="319" spans="1:6" x14ac:dyDescent="0.3">
      <c r="A319" t="s">
        <v>39</v>
      </c>
      <c r="B319" t="s">
        <v>64</v>
      </c>
      <c r="C319">
        <v>17.3</v>
      </c>
      <c r="D319" t="s">
        <v>65</v>
      </c>
      <c r="E319" t="s">
        <v>10</v>
      </c>
      <c r="F319" t="s">
        <v>66</v>
      </c>
    </row>
    <row r="320" spans="1:6" x14ac:dyDescent="0.3">
      <c r="A320" t="s">
        <v>40</v>
      </c>
      <c r="B320" t="s">
        <v>64</v>
      </c>
      <c r="C320">
        <v>12.1</v>
      </c>
      <c r="D320" t="s">
        <v>65</v>
      </c>
      <c r="E320" t="s">
        <v>10</v>
      </c>
      <c r="F320" t="s">
        <v>66</v>
      </c>
    </row>
    <row r="321" spans="1:6" x14ac:dyDescent="0.3">
      <c r="A321" t="s">
        <v>41</v>
      </c>
      <c r="B321" t="s">
        <v>64</v>
      </c>
      <c r="C321">
        <v>35.299999999999997</v>
      </c>
      <c r="D321" t="s">
        <v>65</v>
      </c>
      <c r="E321" t="s">
        <v>10</v>
      </c>
      <c r="F321" t="s">
        <v>66</v>
      </c>
    </row>
    <row r="322" spans="1:6" x14ac:dyDescent="0.3">
      <c r="A322" t="s">
        <v>7</v>
      </c>
      <c r="B322" t="s">
        <v>67</v>
      </c>
      <c r="C322">
        <v>47.955861630000001</v>
      </c>
      <c r="D322" t="s">
        <v>68</v>
      </c>
      <c r="E322" t="s">
        <v>10</v>
      </c>
      <c r="F322" t="s">
        <v>11</v>
      </c>
    </row>
    <row r="323" spans="1:6" x14ac:dyDescent="0.3">
      <c r="A323" t="s">
        <v>12</v>
      </c>
      <c r="B323" t="s">
        <v>67</v>
      </c>
      <c r="C323">
        <v>50.293642200000001</v>
      </c>
      <c r="D323" t="s">
        <v>68</v>
      </c>
      <c r="E323" t="s">
        <v>10</v>
      </c>
      <c r="F323" t="s">
        <v>11</v>
      </c>
    </row>
    <row r="324" spans="1:6" x14ac:dyDescent="0.3">
      <c r="A324" t="s">
        <v>13</v>
      </c>
      <c r="B324" t="s">
        <v>67</v>
      </c>
      <c r="C324">
        <v>54.669487770000003</v>
      </c>
      <c r="D324" t="s">
        <v>68</v>
      </c>
      <c r="E324" t="s">
        <v>10</v>
      </c>
      <c r="F324" t="s">
        <v>11</v>
      </c>
    </row>
    <row r="325" spans="1:6" x14ac:dyDescent="0.3">
      <c r="A325" t="s">
        <v>14</v>
      </c>
      <c r="B325" t="s">
        <v>67</v>
      </c>
      <c r="C325">
        <v>43.50579827</v>
      </c>
      <c r="D325" t="s">
        <v>68</v>
      </c>
      <c r="E325" t="s">
        <v>10</v>
      </c>
      <c r="F325" t="s">
        <v>11</v>
      </c>
    </row>
    <row r="326" spans="1:6" x14ac:dyDescent="0.3">
      <c r="A326" t="s">
        <v>15</v>
      </c>
      <c r="B326" t="s">
        <v>67</v>
      </c>
      <c r="C326">
        <v>28.85813246</v>
      </c>
      <c r="D326" t="s">
        <v>68</v>
      </c>
      <c r="E326" t="s">
        <v>10</v>
      </c>
      <c r="F326" t="s">
        <v>11</v>
      </c>
    </row>
    <row r="327" spans="1:6" x14ac:dyDescent="0.3">
      <c r="A327" t="s">
        <v>16</v>
      </c>
      <c r="B327" t="s">
        <v>67</v>
      </c>
      <c r="C327">
        <v>48.218124619999998</v>
      </c>
      <c r="D327" t="s">
        <v>68</v>
      </c>
      <c r="E327" t="s">
        <v>10</v>
      </c>
      <c r="F327" t="s">
        <v>11</v>
      </c>
    </row>
    <row r="328" spans="1:6" x14ac:dyDescent="0.3">
      <c r="A328" t="s">
        <v>17</v>
      </c>
      <c r="B328" t="s">
        <v>67</v>
      </c>
      <c r="C328">
        <v>62.401685909999998</v>
      </c>
      <c r="D328" t="s">
        <v>68</v>
      </c>
      <c r="E328" t="s">
        <v>10</v>
      </c>
      <c r="F328" t="s">
        <v>11</v>
      </c>
    </row>
    <row r="329" spans="1:6" x14ac:dyDescent="0.3">
      <c r="A329" t="s">
        <v>18</v>
      </c>
      <c r="B329" t="s">
        <v>67</v>
      </c>
      <c r="C329">
        <v>44.086869360000001</v>
      </c>
      <c r="D329" t="s">
        <v>68</v>
      </c>
      <c r="E329" t="s">
        <v>10</v>
      </c>
      <c r="F329" t="s">
        <v>11</v>
      </c>
    </row>
    <row r="330" spans="1:6" x14ac:dyDescent="0.3">
      <c r="A330" t="s">
        <v>19</v>
      </c>
      <c r="B330" t="s">
        <v>67</v>
      </c>
      <c r="C330">
        <v>50.162462980000001</v>
      </c>
      <c r="D330" t="s">
        <v>68</v>
      </c>
      <c r="E330" t="s">
        <v>10</v>
      </c>
      <c r="F330" t="s">
        <v>11</v>
      </c>
    </row>
    <row r="331" spans="1:6" x14ac:dyDescent="0.3">
      <c r="A331" t="s">
        <v>20</v>
      </c>
      <c r="B331" t="s">
        <v>67</v>
      </c>
      <c r="C331">
        <v>44.036730939999998</v>
      </c>
      <c r="D331" t="s">
        <v>68</v>
      </c>
      <c r="E331" t="s">
        <v>10</v>
      </c>
      <c r="F331" t="s">
        <v>11</v>
      </c>
    </row>
    <row r="332" spans="1:6" x14ac:dyDescent="0.3">
      <c r="A332" t="s">
        <v>21</v>
      </c>
      <c r="B332" t="s">
        <v>67</v>
      </c>
      <c r="C332">
        <v>34.712083790000001</v>
      </c>
      <c r="D332" t="s">
        <v>68</v>
      </c>
      <c r="E332" t="s">
        <v>10</v>
      </c>
      <c r="F332" t="s">
        <v>11</v>
      </c>
    </row>
    <row r="333" spans="1:6" x14ac:dyDescent="0.3">
      <c r="A333" t="s">
        <v>22</v>
      </c>
      <c r="B333" t="s">
        <v>67</v>
      </c>
      <c r="C333">
        <v>33.101370580000001</v>
      </c>
      <c r="D333" t="s">
        <v>68</v>
      </c>
      <c r="E333" t="s">
        <v>10</v>
      </c>
      <c r="F333" t="s">
        <v>11</v>
      </c>
    </row>
    <row r="334" spans="1:6" x14ac:dyDescent="0.3">
      <c r="A334" t="s">
        <v>23</v>
      </c>
      <c r="B334" t="s">
        <v>67</v>
      </c>
      <c r="C334">
        <v>37.773534689999998</v>
      </c>
      <c r="D334" t="s">
        <v>68</v>
      </c>
      <c r="E334" t="s">
        <v>10</v>
      </c>
      <c r="F334" t="s">
        <v>11</v>
      </c>
    </row>
    <row r="335" spans="1:6" x14ac:dyDescent="0.3">
      <c r="A335" t="s">
        <v>24</v>
      </c>
      <c r="B335" t="s">
        <v>67</v>
      </c>
      <c r="C335">
        <v>45.055166700000001</v>
      </c>
      <c r="D335" t="s">
        <v>68</v>
      </c>
      <c r="E335" t="s">
        <v>10</v>
      </c>
      <c r="F335" t="s">
        <v>11</v>
      </c>
    </row>
    <row r="336" spans="1:6" x14ac:dyDescent="0.3">
      <c r="A336" t="s">
        <v>25</v>
      </c>
      <c r="B336" t="s">
        <v>67</v>
      </c>
      <c r="C336">
        <v>36.26297615</v>
      </c>
      <c r="D336" t="s">
        <v>68</v>
      </c>
      <c r="E336" t="s">
        <v>10</v>
      </c>
      <c r="F336" t="s">
        <v>11</v>
      </c>
    </row>
    <row r="337" spans="1:6" x14ac:dyDescent="0.3">
      <c r="A337" t="s">
        <v>26</v>
      </c>
      <c r="B337" t="s">
        <v>67</v>
      </c>
      <c r="C337">
        <v>45.068207600000001</v>
      </c>
      <c r="D337" t="s">
        <v>68</v>
      </c>
      <c r="E337" t="s">
        <v>10</v>
      </c>
      <c r="F337" t="s">
        <v>11</v>
      </c>
    </row>
    <row r="338" spans="1:6" x14ac:dyDescent="0.3">
      <c r="A338" t="s">
        <v>0</v>
      </c>
      <c r="B338" t="s">
        <v>67</v>
      </c>
      <c r="C338">
        <v>48.780849619999998</v>
      </c>
      <c r="D338" t="s">
        <v>68</v>
      </c>
      <c r="E338" t="s">
        <v>10</v>
      </c>
      <c r="F338" t="s">
        <v>11</v>
      </c>
    </row>
    <row r="339" spans="1:6" x14ac:dyDescent="0.3">
      <c r="A339" t="s">
        <v>27</v>
      </c>
      <c r="B339" t="s">
        <v>67</v>
      </c>
      <c r="C339">
        <v>46.834481920000002</v>
      </c>
      <c r="D339" t="s">
        <v>68</v>
      </c>
      <c r="E339" t="s">
        <v>10</v>
      </c>
      <c r="F339" t="s">
        <v>11</v>
      </c>
    </row>
    <row r="340" spans="1:6" x14ac:dyDescent="0.3">
      <c r="A340" t="s">
        <v>28</v>
      </c>
      <c r="B340" t="s">
        <v>67</v>
      </c>
      <c r="C340">
        <v>43.304543860000003</v>
      </c>
      <c r="D340" t="s">
        <v>68</v>
      </c>
      <c r="E340" t="s">
        <v>10</v>
      </c>
      <c r="F340" t="s">
        <v>11</v>
      </c>
    </row>
    <row r="341" spans="1:6" x14ac:dyDescent="0.3">
      <c r="A341" t="s">
        <v>29</v>
      </c>
      <c r="B341" t="s">
        <v>67</v>
      </c>
      <c r="C341">
        <v>29.980788669999999</v>
      </c>
      <c r="D341" t="s">
        <v>68</v>
      </c>
      <c r="E341" t="s">
        <v>10</v>
      </c>
      <c r="F341" t="s">
        <v>11</v>
      </c>
    </row>
    <row r="342" spans="1:6" x14ac:dyDescent="0.3">
      <c r="A342" t="s">
        <v>30</v>
      </c>
      <c r="B342" t="s">
        <v>67</v>
      </c>
      <c r="C342">
        <v>40.190670009999998</v>
      </c>
      <c r="D342" t="s">
        <v>68</v>
      </c>
      <c r="E342" t="s">
        <v>10</v>
      </c>
      <c r="F342" t="s">
        <v>11</v>
      </c>
    </row>
    <row r="343" spans="1:6" x14ac:dyDescent="0.3">
      <c r="A343" t="s">
        <v>31</v>
      </c>
      <c r="B343" t="s">
        <v>67</v>
      </c>
      <c r="C343">
        <v>48.354379309999999</v>
      </c>
      <c r="D343" t="s">
        <v>68</v>
      </c>
      <c r="E343" t="s">
        <v>10</v>
      </c>
      <c r="F343" t="s">
        <v>11</v>
      </c>
    </row>
    <row r="344" spans="1:6" x14ac:dyDescent="0.3">
      <c r="A344" t="s">
        <v>32</v>
      </c>
      <c r="B344" t="s">
        <v>67</v>
      </c>
      <c r="C344">
        <v>48.546208470000003</v>
      </c>
      <c r="D344" t="s">
        <v>68</v>
      </c>
      <c r="E344" t="s">
        <v>10</v>
      </c>
      <c r="F344" t="s">
        <v>11</v>
      </c>
    </row>
    <row r="345" spans="1:6" x14ac:dyDescent="0.3">
      <c r="A345" t="s">
        <v>33</v>
      </c>
      <c r="B345" t="s">
        <v>67</v>
      </c>
      <c r="C345">
        <v>40.336459859999998</v>
      </c>
      <c r="D345" t="s">
        <v>68</v>
      </c>
      <c r="E345" t="s">
        <v>10</v>
      </c>
      <c r="F345" t="s">
        <v>11</v>
      </c>
    </row>
    <row r="346" spans="1:6" x14ac:dyDescent="0.3">
      <c r="A346" t="s">
        <v>34</v>
      </c>
      <c r="B346" t="s">
        <v>67</v>
      </c>
      <c r="C346">
        <v>52.321526640000002</v>
      </c>
      <c r="D346" t="s">
        <v>68</v>
      </c>
      <c r="E346" t="s">
        <v>10</v>
      </c>
      <c r="F346" t="s">
        <v>11</v>
      </c>
    </row>
    <row r="347" spans="1:6" x14ac:dyDescent="0.3">
      <c r="A347" t="s">
        <v>35</v>
      </c>
      <c r="B347" t="s">
        <v>67</v>
      </c>
      <c r="C347">
        <v>49.756985960000002</v>
      </c>
      <c r="D347" t="s">
        <v>68</v>
      </c>
      <c r="E347" t="s">
        <v>10</v>
      </c>
      <c r="F347" t="s">
        <v>11</v>
      </c>
    </row>
    <row r="348" spans="1:6" x14ac:dyDescent="0.3">
      <c r="A348" t="s">
        <v>36</v>
      </c>
      <c r="B348" t="s">
        <v>67</v>
      </c>
      <c r="C348">
        <v>44.6193946</v>
      </c>
      <c r="D348" t="s">
        <v>68</v>
      </c>
      <c r="E348" t="s">
        <v>10</v>
      </c>
      <c r="F348" t="s">
        <v>11</v>
      </c>
    </row>
    <row r="349" spans="1:6" x14ac:dyDescent="0.3">
      <c r="A349" t="s">
        <v>37</v>
      </c>
      <c r="B349" t="s">
        <v>67</v>
      </c>
      <c r="C349">
        <v>47.986610980000002</v>
      </c>
      <c r="D349" t="s">
        <v>68</v>
      </c>
      <c r="E349" t="s">
        <v>10</v>
      </c>
      <c r="F349" t="s">
        <v>11</v>
      </c>
    </row>
    <row r="350" spans="1:6" x14ac:dyDescent="0.3">
      <c r="A350" t="s">
        <v>38</v>
      </c>
      <c r="B350" t="s">
        <v>67</v>
      </c>
      <c r="C350">
        <v>44.481838080000003</v>
      </c>
      <c r="D350" t="s">
        <v>68</v>
      </c>
      <c r="E350" t="s">
        <v>10</v>
      </c>
      <c r="F350" t="s">
        <v>11</v>
      </c>
    </row>
    <row r="351" spans="1:6" x14ac:dyDescent="0.3">
      <c r="A351" t="s">
        <v>39</v>
      </c>
      <c r="B351" t="s">
        <v>67</v>
      </c>
      <c r="C351">
        <v>36.57222659</v>
      </c>
      <c r="D351" t="s">
        <v>68</v>
      </c>
      <c r="E351" t="s">
        <v>10</v>
      </c>
      <c r="F351" t="s">
        <v>11</v>
      </c>
    </row>
    <row r="352" spans="1:6" x14ac:dyDescent="0.3">
      <c r="A352" t="s">
        <v>40</v>
      </c>
      <c r="B352" t="s">
        <v>67</v>
      </c>
      <c r="C352">
        <v>42.025138929999997</v>
      </c>
      <c r="D352" t="s">
        <v>68</v>
      </c>
      <c r="E352" t="s">
        <v>10</v>
      </c>
      <c r="F352" t="s">
        <v>11</v>
      </c>
    </row>
    <row r="353" spans="1:6" x14ac:dyDescent="0.3">
      <c r="A353" t="s">
        <v>41</v>
      </c>
      <c r="B353" t="s">
        <v>67</v>
      </c>
      <c r="C353">
        <v>33.971599570000002</v>
      </c>
      <c r="D353" t="s">
        <v>68</v>
      </c>
      <c r="E353" t="s">
        <v>10</v>
      </c>
      <c r="F353" t="s">
        <v>11</v>
      </c>
    </row>
    <row r="354" spans="1:6" x14ac:dyDescent="0.3">
      <c r="A354" t="s">
        <v>7</v>
      </c>
      <c r="B354" t="s">
        <v>69</v>
      </c>
      <c r="C354">
        <v>14.32731845</v>
      </c>
      <c r="D354" t="s">
        <v>70</v>
      </c>
      <c r="E354" t="s">
        <v>10</v>
      </c>
      <c r="F354" t="s">
        <v>11</v>
      </c>
    </row>
    <row r="355" spans="1:6" x14ac:dyDescent="0.3">
      <c r="A355" t="s">
        <v>12</v>
      </c>
      <c r="B355" t="s">
        <v>69</v>
      </c>
      <c r="C355">
        <v>18.604866909999998</v>
      </c>
      <c r="D355" t="s">
        <v>70</v>
      </c>
      <c r="E355" t="s">
        <v>10</v>
      </c>
      <c r="F355" t="s">
        <v>11</v>
      </c>
    </row>
    <row r="356" spans="1:6" x14ac:dyDescent="0.3">
      <c r="A356" t="s">
        <v>13</v>
      </c>
      <c r="B356" t="s">
        <v>69</v>
      </c>
      <c r="C356">
        <v>13.64968038</v>
      </c>
      <c r="D356" t="s">
        <v>70</v>
      </c>
      <c r="E356" t="s">
        <v>10</v>
      </c>
      <c r="F356" t="s">
        <v>11</v>
      </c>
    </row>
    <row r="357" spans="1:6" x14ac:dyDescent="0.3">
      <c r="A357" t="s">
        <v>14</v>
      </c>
      <c r="B357" t="s">
        <v>69</v>
      </c>
      <c r="C357">
        <v>23.577732340000001</v>
      </c>
      <c r="D357" t="s">
        <v>70</v>
      </c>
      <c r="E357" t="s">
        <v>10</v>
      </c>
      <c r="F357" t="s">
        <v>11</v>
      </c>
    </row>
    <row r="358" spans="1:6" x14ac:dyDescent="0.3">
      <c r="A358" t="s">
        <v>15</v>
      </c>
      <c r="B358" t="s">
        <v>69</v>
      </c>
      <c r="C358">
        <v>29.16363866</v>
      </c>
      <c r="D358" t="s">
        <v>70</v>
      </c>
      <c r="E358" t="s">
        <v>10</v>
      </c>
      <c r="F358" t="s">
        <v>11</v>
      </c>
    </row>
    <row r="359" spans="1:6" x14ac:dyDescent="0.3">
      <c r="A359" t="s">
        <v>16</v>
      </c>
      <c r="B359" t="s">
        <v>69</v>
      </c>
      <c r="C359">
        <v>18.448973179999999</v>
      </c>
      <c r="D359" t="s">
        <v>70</v>
      </c>
      <c r="E359" t="s">
        <v>10</v>
      </c>
      <c r="F359" t="s">
        <v>11</v>
      </c>
    </row>
    <row r="360" spans="1:6" x14ac:dyDescent="0.3">
      <c r="A360" t="s">
        <v>17</v>
      </c>
      <c r="B360" t="s">
        <v>69</v>
      </c>
      <c r="C360">
        <v>24.572441600000001</v>
      </c>
      <c r="D360" t="s">
        <v>70</v>
      </c>
      <c r="E360" t="s">
        <v>10</v>
      </c>
      <c r="F360" t="s">
        <v>11</v>
      </c>
    </row>
    <row r="361" spans="1:6" x14ac:dyDescent="0.3">
      <c r="A361" t="s">
        <v>18</v>
      </c>
      <c r="B361" t="s">
        <v>69</v>
      </c>
      <c r="C361">
        <v>14.25984411</v>
      </c>
      <c r="D361" t="s">
        <v>70</v>
      </c>
      <c r="E361" t="s">
        <v>10</v>
      </c>
      <c r="F361" t="s">
        <v>11</v>
      </c>
    </row>
    <row r="362" spans="1:6" x14ac:dyDescent="0.3">
      <c r="A362" t="s">
        <v>19</v>
      </c>
      <c r="B362" t="s">
        <v>69</v>
      </c>
      <c r="C362">
        <v>15.182036589999999</v>
      </c>
      <c r="D362" t="s">
        <v>70</v>
      </c>
      <c r="E362" t="s">
        <v>10</v>
      </c>
      <c r="F362" t="s">
        <v>11</v>
      </c>
    </row>
    <row r="363" spans="1:6" x14ac:dyDescent="0.3">
      <c r="A363" t="s">
        <v>20</v>
      </c>
      <c r="B363" t="s">
        <v>69</v>
      </c>
      <c r="C363">
        <v>25.463327880000001</v>
      </c>
      <c r="D363" t="s">
        <v>70</v>
      </c>
      <c r="E363" t="s">
        <v>10</v>
      </c>
      <c r="F363" t="s">
        <v>11</v>
      </c>
    </row>
    <row r="364" spans="1:6" x14ac:dyDescent="0.3">
      <c r="A364" t="s">
        <v>21</v>
      </c>
      <c r="B364" t="s">
        <v>69</v>
      </c>
      <c r="C364">
        <v>29.983998459999999</v>
      </c>
      <c r="D364" t="s">
        <v>70</v>
      </c>
      <c r="E364" t="s">
        <v>10</v>
      </c>
      <c r="F364" t="s">
        <v>11</v>
      </c>
    </row>
    <row r="365" spans="1:6" x14ac:dyDescent="0.3">
      <c r="A365" t="s">
        <v>22</v>
      </c>
      <c r="B365" t="s">
        <v>69</v>
      </c>
      <c r="C365">
        <v>15.578597370000001</v>
      </c>
      <c r="D365" t="s">
        <v>70</v>
      </c>
      <c r="E365" t="s">
        <v>10</v>
      </c>
      <c r="F365" t="s">
        <v>11</v>
      </c>
    </row>
    <row r="366" spans="1:6" x14ac:dyDescent="0.3">
      <c r="A366" t="s">
        <v>23</v>
      </c>
      <c r="B366" t="s">
        <v>69</v>
      </c>
      <c r="C366">
        <v>25.836917629999999</v>
      </c>
      <c r="D366" t="s">
        <v>70</v>
      </c>
      <c r="E366" t="s">
        <v>10</v>
      </c>
      <c r="F366" t="s">
        <v>11</v>
      </c>
    </row>
    <row r="367" spans="1:6" x14ac:dyDescent="0.3">
      <c r="A367" t="s">
        <v>24</v>
      </c>
      <c r="B367" t="s">
        <v>69</v>
      </c>
      <c r="C367">
        <v>10.08987093</v>
      </c>
      <c r="D367" t="s">
        <v>70</v>
      </c>
      <c r="E367" t="s">
        <v>10</v>
      </c>
      <c r="F367" t="s">
        <v>11</v>
      </c>
    </row>
    <row r="368" spans="1:6" x14ac:dyDescent="0.3">
      <c r="A368" t="s">
        <v>25</v>
      </c>
      <c r="B368" t="s">
        <v>69</v>
      </c>
      <c r="C368">
        <v>27.864470069999999</v>
      </c>
      <c r="D368" t="s">
        <v>70</v>
      </c>
      <c r="E368" t="s">
        <v>10</v>
      </c>
      <c r="F368" t="s">
        <v>11</v>
      </c>
    </row>
    <row r="369" spans="1:6" x14ac:dyDescent="0.3">
      <c r="A369" t="s">
        <v>26</v>
      </c>
      <c r="B369" t="s">
        <v>69</v>
      </c>
      <c r="C369">
        <v>19.936611360000001</v>
      </c>
      <c r="D369" t="s">
        <v>70</v>
      </c>
      <c r="E369" t="s">
        <v>10</v>
      </c>
      <c r="F369" t="s">
        <v>11</v>
      </c>
    </row>
    <row r="370" spans="1:6" x14ac:dyDescent="0.3">
      <c r="A370" t="s">
        <v>0</v>
      </c>
      <c r="B370" t="s">
        <v>69</v>
      </c>
      <c r="C370">
        <v>20.64214174</v>
      </c>
      <c r="D370" t="s">
        <v>70</v>
      </c>
      <c r="E370" t="s">
        <v>10</v>
      </c>
      <c r="F370" t="s">
        <v>11</v>
      </c>
    </row>
    <row r="371" spans="1:6" x14ac:dyDescent="0.3">
      <c r="A371" t="s">
        <v>27</v>
      </c>
      <c r="B371" t="s">
        <v>69</v>
      </c>
      <c r="C371">
        <v>21.010098429999999</v>
      </c>
      <c r="D371" t="s">
        <v>70</v>
      </c>
      <c r="E371" t="s">
        <v>10</v>
      </c>
      <c r="F371" t="s">
        <v>11</v>
      </c>
    </row>
    <row r="372" spans="1:6" x14ac:dyDescent="0.3">
      <c r="A372" t="s">
        <v>28</v>
      </c>
      <c r="B372" t="s">
        <v>69</v>
      </c>
      <c r="C372">
        <v>15.34160475</v>
      </c>
      <c r="D372" t="s">
        <v>70</v>
      </c>
      <c r="E372" t="s">
        <v>10</v>
      </c>
      <c r="F372" t="s">
        <v>11</v>
      </c>
    </row>
    <row r="373" spans="1:6" x14ac:dyDescent="0.3">
      <c r="A373" t="s">
        <v>29</v>
      </c>
      <c r="B373" t="s">
        <v>69</v>
      </c>
      <c r="C373">
        <v>34.37338381</v>
      </c>
      <c r="D373" t="s">
        <v>70</v>
      </c>
      <c r="E373" t="s">
        <v>10</v>
      </c>
      <c r="F373" t="s">
        <v>11</v>
      </c>
    </row>
    <row r="374" spans="1:6" x14ac:dyDescent="0.3">
      <c r="A374" t="s">
        <v>30</v>
      </c>
      <c r="B374" t="s">
        <v>69</v>
      </c>
      <c r="C374">
        <v>22.718862260000002</v>
      </c>
      <c r="D374" t="s">
        <v>70</v>
      </c>
      <c r="E374" t="s">
        <v>10</v>
      </c>
      <c r="F374" t="s">
        <v>11</v>
      </c>
    </row>
    <row r="375" spans="1:6" x14ac:dyDescent="0.3">
      <c r="A375" t="s">
        <v>31</v>
      </c>
      <c r="B375" t="s">
        <v>69</v>
      </c>
      <c r="C375">
        <v>10.848639090000001</v>
      </c>
      <c r="D375" t="s">
        <v>70</v>
      </c>
      <c r="E375" t="s">
        <v>10</v>
      </c>
      <c r="F375" t="s">
        <v>11</v>
      </c>
    </row>
    <row r="376" spans="1:6" x14ac:dyDescent="0.3">
      <c r="A376" t="s">
        <v>32</v>
      </c>
      <c r="B376" t="s">
        <v>69</v>
      </c>
      <c r="C376">
        <v>13.6432558</v>
      </c>
      <c r="D376" t="s">
        <v>70</v>
      </c>
      <c r="E376" t="s">
        <v>10</v>
      </c>
      <c r="F376" t="s">
        <v>11</v>
      </c>
    </row>
    <row r="377" spans="1:6" x14ac:dyDescent="0.3">
      <c r="A377" t="s">
        <v>33</v>
      </c>
      <c r="B377" t="s">
        <v>69</v>
      </c>
      <c r="C377">
        <v>20.033176300000001</v>
      </c>
      <c r="D377" t="s">
        <v>70</v>
      </c>
      <c r="E377" t="s">
        <v>10</v>
      </c>
      <c r="F377" t="s">
        <v>11</v>
      </c>
    </row>
    <row r="378" spans="1:6" x14ac:dyDescent="0.3">
      <c r="A378" t="s">
        <v>34</v>
      </c>
      <c r="B378" t="s">
        <v>69</v>
      </c>
      <c r="C378">
        <v>24.235772409999999</v>
      </c>
      <c r="D378" t="s">
        <v>70</v>
      </c>
      <c r="E378" t="s">
        <v>10</v>
      </c>
      <c r="F378" t="s">
        <v>11</v>
      </c>
    </row>
    <row r="379" spans="1:6" x14ac:dyDescent="0.3">
      <c r="A379" t="s">
        <v>35</v>
      </c>
      <c r="B379" t="s">
        <v>69</v>
      </c>
      <c r="C379">
        <v>16.09143929</v>
      </c>
      <c r="D379" t="s">
        <v>70</v>
      </c>
      <c r="E379" t="s">
        <v>10</v>
      </c>
      <c r="F379" t="s">
        <v>11</v>
      </c>
    </row>
    <row r="380" spans="1:6" x14ac:dyDescent="0.3">
      <c r="A380" t="s">
        <v>36</v>
      </c>
      <c r="B380" t="s">
        <v>69</v>
      </c>
      <c r="C380">
        <v>30.534209619999999</v>
      </c>
      <c r="D380" t="s">
        <v>70</v>
      </c>
      <c r="E380" t="s">
        <v>10</v>
      </c>
      <c r="F380" t="s">
        <v>11</v>
      </c>
    </row>
    <row r="381" spans="1:6" x14ac:dyDescent="0.3">
      <c r="A381" t="s">
        <v>37</v>
      </c>
      <c r="B381" t="s">
        <v>69</v>
      </c>
      <c r="C381">
        <v>25.107599180000001</v>
      </c>
      <c r="D381" t="s">
        <v>70</v>
      </c>
      <c r="E381" t="s">
        <v>10</v>
      </c>
      <c r="F381" t="s">
        <v>11</v>
      </c>
    </row>
    <row r="382" spans="1:6" x14ac:dyDescent="0.3">
      <c r="A382" t="s">
        <v>38</v>
      </c>
      <c r="B382" t="s">
        <v>69</v>
      </c>
      <c r="C382">
        <v>30.183916549999999</v>
      </c>
      <c r="D382" t="s">
        <v>70</v>
      </c>
      <c r="E382" t="s">
        <v>10</v>
      </c>
      <c r="F382" t="s">
        <v>11</v>
      </c>
    </row>
    <row r="383" spans="1:6" x14ac:dyDescent="0.3">
      <c r="A383" t="s">
        <v>39</v>
      </c>
      <c r="B383" t="s">
        <v>69</v>
      </c>
      <c r="C383">
        <v>23.66932529</v>
      </c>
      <c r="D383" t="s">
        <v>70</v>
      </c>
      <c r="E383" t="s">
        <v>10</v>
      </c>
      <c r="F383" t="s">
        <v>11</v>
      </c>
    </row>
    <row r="384" spans="1:6" x14ac:dyDescent="0.3">
      <c r="A384" t="s">
        <v>40</v>
      </c>
      <c r="B384" t="s">
        <v>69</v>
      </c>
      <c r="C384">
        <v>16.966058700000001</v>
      </c>
      <c r="D384" t="s">
        <v>70</v>
      </c>
      <c r="E384" t="s">
        <v>10</v>
      </c>
      <c r="F384" t="s">
        <v>11</v>
      </c>
    </row>
    <row r="385" spans="1:6" x14ac:dyDescent="0.3">
      <c r="A385" t="s">
        <v>41</v>
      </c>
      <c r="B385" t="s">
        <v>69</v>
      </c>
      <c r="C385">
        <v>23.023439570000001</v>
      </c>
      <c r="D385" t="s">
        <v>70</v>
      </c>
      <c r="E385" t="s">
        <v>10</v>
      </c>
      <c r="F385" t="s">
        <v>11</v>
      </c>
    </row>
    <row r="386" spans="1:6" x14ac:dyDescent="0.3">
      <c r="A386" t="s">
        <v>7</v>
      </c>
      <c r="B386" t="s">
        <v>71</v>
      </c>
      <c r="C386">
        <v>20.782506550000001</v>
      </c>
      <c r="D386" t="s">
        <v>72</v>
      </c>
      <c r="E386" t="s">
        <v>47</v>
      </c>
      <c r="F386" t="s">
        <v>73</v>
      </c>
    </row>
    <row r="387" spans="1:6" x14ac:dyDescent="0.3">
      <c r="A387" t="s">
        <v>12</v>
      </c>
      <c r="B387" t="s">
        <v>71</v>
      </c>
      <c r="C387">
        <v>18.0318887</v>
      </c>
      <c r="D387" t="s">
        <v>72</v>
      </c>
      <c r="E387" t="s">
        <v>47</v>
      </c>
      <c r="F387" t="s">
        <v>73</v>
      </c>
    </row>
    <row r="388" spans="1:6" x14ac:dyDescent="0.3">
      <c r="A388" t="s">
        <v>13</v>
      </c>
      <c r="B388" t="s">
        <v>71</v>
      </c>
      <c r="C388">
        <v>6.8769878789999996</v>
      </c>
      <c r="D388" t="s">
        <v>72</v>
      </c>
      <c r="E388" t="s">
        <v>47</v>
      </c>
      <c r="F388" t="s">
        <v>73</v>
      </c>
    </row>
    <row r="389" spans="1:6" x14ac:dyDescent="0.3">
      <c r="A389" t="s">
        <v>14</v>
      </c>
      <c r="B389" t="s">
        <v>71</v>
      </c>
      <c r="C389">
        <v>14.57667996</v>
      </c>
      <c r="D389" t="s">
        <v>72</v>
      </c>
      <c r="E389" t="s">
        <v>47</v>
      </c>
      <c r="F389" t="s">
        <v>73</v>
      </c>
    </row>
    <row r="390" spans="1:6" x14ac:dyDescent="0.3">
      <c r="A390" t="s">
        <v>15</v>
      </c>
      <c r="B390" t="s">
        <v>71</v>
      </c>
      <c r="C390">
        <v>3.842121729</v>
      </c>
      <c r="D390" t="s">
        <v>72</v>
      </c>
      <c r="E390" t="s">
        <v>47</v>
      </c>
      <c r="F390" t="s">
        <v>73</v>
      </c>
    </row>
    <row r="391" spans="1:6" x14ac:dyDescent="0.3">
      <c r="A391" t="s">
        <v>16</v>
      </c>
      <c r="B391" t="s">
        <v>71</v>
      </c>
      <c r="C391">
        <v>26.388664670000001</v>
      </c>
      <c r="D391" t="s">
        <v>72</v>
      </c>
      <c r="E391" t="s">
        <v>47</v>
      </c>
      <c r="F391" t="s">
        <v>73</v>
      </c>
    </row>
    <row r="392" spans="1:6" x14ac:dyDescent="0.3">
      <c r="A392" t="s">
        <v>17</v>
      </c>
      <c r="B392" t="s">
        <v>71</v>
      </c>
      <c r="C392">
        <v>9.8466452750000002</v>
      </c>
      <c r="D392" t="s">
        <v>72</v>
      </c>
      <c r="E392" t="s">
        <v>47</v>
      </c>
      <c r="F392" t="s">
        <v>73</v>
      </c>
    </row>
    <row r="393" spans="1:6" x14ac:dyDescent="0.3">
      <c r="A393" t="s">
        <v>18</v>
      </c>
      <c r="B393" t="s">
        <v>71</v>
      </c>
      <c r="C393">
        <v>12.770864400000001</v>
      </c>
      <c r="D393" t="s">
        <v>72</v>
      </c>
      <c r="E393" t="s">
        <v>47</v>
      </c>
      <c r="F393" t="s">
        <v>73</v>
      </c>
    </row>
    <row r="394" spans="1:6" x14ac:dyDescent="0.3">
      <c r="A394" t="s">
        <v>19</v>
      </c>
      <c r="B394" t="s">
        <v>71</v>
      </c>
      <c r="C394">
        <v>33.180893580000003</v>
      </c>
      <c r="D394" t="s">
        <v>72</v>
      </c>
      <c r="E394" t="s">
        <v>47</v>
      </c>
      <c r="F394" t="s">
        <v>73</v>
      </c>
    </row>
    <row r="395" spans="1:6" x14ac:dyDescent="0.3">
      <c r="A395" t="s">
        <v>20</v>
      </c>
      <c r="B395" t="s">
        <v>71</v>
      </c>
      <c r="C395">
        <v>13.366771480000001</v>
      </c>
      <c r="D395" t="s">
        <v>72</v>
      </c>
      <c r="E395" t="s">
        <v>47</v>
      </c>
      <c r="F395" t="s">
        <v>73</v>
      </c>
    </row>
    <row r="396" spans="1:6" x14ac:dyDescent="0.3">
      <c r="A396" t="s">
        <v>21</v>
      </c>
      <c r="B396" t="s">
        <v>71</v>
      </c>
      <c r="C396">
        <v>11.685020209999999</v>
      </c>
      <c r="D396" t="s">
        <v>72</v>
      </c>
      <c r="E396" t="s">
        <v>47</v>
      </c>
      <c r="F396" t="s">
        <v>73</v>
      </c>
    </row>
    <row r="397" spans="1:6" x14ac:dyDescent="0.3">
      <c r="A397" t="s">
        <v>22</v>
      </c>
      <c r="B397" t="s">
        <v>71</v>
      </c>
      <c r="C397">
        <v>4.7193408019999996</v>
      </c>
      <c r="D397" t="s">
        <v>72</v>
      </c>
      <c r="E397" t="s">
        <v>47</v>
      </c>
      <c r="F397" t="s">
        <v>73</v>
      </c>
    </row>
    <row r="398" spans="1:6" x14ac:dyDescent="0.3">
      <c r="A398" t="s">
        <v>23</v>
      </c>
      <c r="B398" t="s">
        <v>71</v>
      </c>
      <c r="C398">
        <v>4.2126991819999997</v>
      </c>
      <c r="D398" t="s">
        <v>72</v>
      </c>
      <c r="E398" t="s">
        <v>47</v>
      </c>
      <c r="F398" t="s">
        <v>73</v>
      </c>
    </row>
    <row r="399" spans="1:6" x14ac:dyDescent="0.3">
      <c r="A399" t="s">
        <v>24</v>
      </c>
      <c r="B399" t="s">
        <v>71</v>
      </c>
      <c r="C399">
        <v>20.237901860000001</v>
      </c>
      <c r="D399" t="s">
        <v>72</v>
      </c>
      <c r="E399" t="s">
        <v>47</v>
      </c>
      <c r="F399" t="s">
        <v>73</v>
      </c>
    </row>
    <row r="400" spans="1:6" x14ac:dyDescent="0.3">
      <c r="A400" t="s">
        <v>25</v>
      </c>
      <c r="B400" t="s">
        <v>71</v>
      </c>
      <c r="C400">
        <v>11.68599056</v>
      </c>
      <c r="D400" t="s">
        <v>72</v>
      </c>
      <c r="E400" t="s">
        <v>47</v>
      </c>
      <c r="F400" t="s">
        <v>73</v>
      </c>
    </row>
    <row r="401" spans="1:6" x14ac:dyDescent="0.3">
      <c r="A401" t="s">
        <v>26</v>
      </c>
      <c r="B401" t="s">
        <v>71</v>
      </c>
      <c r="C401">
        <v>19.766947689999999</v>
      </c>
      <c r="D401" t="s">
        <v>72</v>
      </c>
      <c r="E401" t="s">
        <v>47</v>
      </c>
      <c r="F401" t="s">
        <v>73</v>
      </c>
    </row>
    <row r="402" spans="1:6" x14ac:dyDescent="0.3">
      <c r="A402" t="s">
        <v>0</v>
      </c>
      <c r="B402" t="s">
        <v>71</v>
      </c>
      <c r="C402">
        <v>6.6282324209999999</v>
      </c>
      <c r="D402" t="s">
        <v>72</v>
      </c>
      <c r="E402" t="s">
        <v>47</v>
      </c>
      <c r="F402" t="s">
        <v>73</v>
      </c>
    </row>
    <row r="403" spans="1:6" x14ac:dyDescent="0.3">
      <c r="A403" t="s">
        <v>27</v>
      </c>
      <c r="B403" t="s">
        <v>71</v>
      </c>
      <c r="C403">
        <v>19.386052159999998</v>
      </c>
      <c r="D403" t="s">
        <v>72</v>
      </c>
      <c r="E403" t="s">
        <v>47</v>
      </c>
      <c r="F403" t="s">
        <v>73</v>
      </c>
    </row>
    <row r="404" spans="1:6" x14ac:dyDescent="0.3">
      <c r="A404" t="s">
        <v>28</v>
      </c>
      <c r="B404" t="s">
        <v>71</v>
      </c>
      <c r="C404">
        <v>20.877366349999999</v>
      </c>
      <c r="D404" t="s">
        <v>72</v>
      </c>
      <c r="E404" t="s">
        <v>47</v>
      </c>
      <c r="F404" t="s">
        <v>73</v>
      </c>
    </row>
    <row r="405" spans="1:6" x14ac:dyDescent="0.3">
      <c r="A405" t="s">
        <v>29</v>
      </c>
      <c r="B405" t="s">
        <v>71</v>
      </c>
      <c r="C405">
        <v>6.0528565700000003</v>
      </c>
      <c r="D405" t="s">
        <v>72</v>
      </c>
      <c r="E405" t="s">
        <v>47</v>
      </c>
      <c r="F405" t="s">
        <v>73</v>
      </c>
    </row>
    <row r="406" spans="1:6" x14ac:dyDescent="0.3">
      <c r="A406" t="s">
        <v>30</v>
      </c>
      <c r="B406" t="s">
        <v>71</v>
      </c>
      <c r="C406">
        <v>9.3301163089999992</v>
      </c>
      <c r="D406" t="s">
        <v>72</v>
      </c>
      <c r="E406" t="s">
        <v>47</v>
      </c>
      <c r="F406" t="s">
        <v>73</v>
      </c>
    </row>
    <row r="407" spans="1:6" x14ac:dyDescent="0.3">
      <c r="A407" t="s">
        <v>31</v>
      </c>
      <c r="B407" t="s">
        <v>71</v>
      </c>
      <c r="C407">
        <v>8.6700660549999995</v>
      </c>
      <c r="D407" t="s">
        <v>72</v>
      </c>
      <c r="E407" t="s">
        <v>47</v>
      </c>
      <c r="F407" t="s">
        <v>73</v>
      </c>
    </row>
    <row r="408" spans="1:6" x14ac:dyDescent="0.3">
      <c r="A408" t="s">
        <v>32</v>
      </c>
      <c r="B408" t="s">
        <v>71</v>
      </c>
      <c r="C408">
        <v>6.0107592590000003</v>
      </c>
      <c r="D408" t="s">
        <v>72</v>
      </c>
      <c r="E408" t="s">
        <v>47</v>
      </c>
      <c r="F408" t="s">
        <v>73</v>
      </c>
    </row>
    <row r="409" spans="1:6" x14ac:dyDescent="0.3">
      <c r="A409" t="s">
        <v>33</v>
      </c>
      <c r="B409" t="s">
        <v>71</v>
      </c>
      <c r="C409">
        <v>15.790601580000001</v>
      </c>
      <c r="D409" t="s">
        <v>72</v>
      </c>
      <c r="E409" t="s">
        <v>47</v>
      </c>
      <c r="F409" t="s">
        <v>73</v>
      </c>
    </row>
    <row r="410" spans="1:6" x14ac:dyDescent="0.3">
      <c r="A410" t="s">
        <v>34</v>
      </c>
      <c r="B410" t="s">
        <v>71</v>
      </c>
      <c r="C410">
        <v>9.4182545960000006</v>
      </c>
      <c r="D410" t="s">
        <v>72</v>
      </c>
      <c r="E410" t="s">
        <v>47</v>
      </c>
      <c r="F410" t="s">
        <v>73</v>
      </c>
    </row>
    <row r="411" spans="1:6" x14ac:dyDescent="0.3">
      <c r="A411" t="s">
        <v>35</v>
      </c>
      <c r="B411" t="s">
        <v>71</v>
      </c>
      <c r="C411">
        <v>20.441835680000001</v>
      </c>
      <c r="D411" t="s">
        <v>72</v>
      </c>
      <c r="E411" t="s">
        <v>47</v>
      </c>
      <c r="F411" t="s">
        <v>73</v>
      </c>
    </row>
    <row r="412" spans="1:6" x14ac:dyDescent="0.3">
      <c r="A412" t="s">
        <v>36</v>
      </c>
      <c r="B412" t="s">
        <v>71</v>
      </c>
      <c r="C412">
        <v>2.681425231</v>
      </c>
      <c r="D412" t="s">
        <v>72</v>
      </c>
      <c r="E412" t="s">
        <v>47</v>
      </c>
      <c r="F412" t="s">
        <v>73</v>
      </c>
    </row>
    <row r="413" spans="1:6" x14ac:dyDescent="0.3">
      <c r="A413" t="s">
        <v>37</v>
      </c>
      <c r="B413" t="s">
        <v>71</v>
      </c>
      <c r="C413">
        <v>8.9233240309999999</v>
      </c>
      <c r="D413" t="s">
        <v>72</v>
      </c>
      <c r="E413" t="s">
        <v>47</v>
      </c>
      <c r="F413" t="s">
        <v>73</v>
      </c>
    </row>
    <row r="414" spans="1:6" x14ac:dyDescent="0.3">
      <c r="A414" t="s">
        <v>38</v>
      </c>
      <c r="B414" t="s">
        <v>71</v>
      </c>
      <c r="C414">
        <v>5.6868803669999997</v>
      </c>
      <c r="D414" t="s">
        <v>72</v>
      </c>
      <c r="E414" t="s">
        <v>47</v>
      </c>
      <c r="F414" t="s">
        <v>73</v>
      </c>
    </row>
    <row r="415" spans="1:6" x14ac:dyDescent="0.3">
      <c r="A415" t="s">
        <v>39</v>
      </c>
      <c r="B415" t="s">
        <v>71</v>
      </c>
      <c r="C415">
        <v>5.1827569679999996</v>
      </c>
      <c r="D415" t="s">
        <v>72</v>
      </c>
      <c r="E415" t="s">
        <v>47</v>
      </c>
      <c r="F415" t="s">
        <v>73</v>
      </c>
    </row>
    <row r="416" spans="1:6" x14ac:dyDescent="0.3">
      <c r="A416" t="s">
        <v>40</v>
      </c>
      <c r="B416" t="s">
        <v>71</v>
      </c>
      <c r="C416">
        <v>21.298385849999999</v>
      </c>
      <c r="D416" t="s">
        <v>72</v>
      </c>
      <c r="E416" t="s">
        <v>47</v>
      </c>
      <c r="F416" t="s">
        <v>73</v>
      </c>
    </row>
    <row r="417" spans="1:6" x14ac:dyDescent="0.3">
      <c r="A417" t="s">
        <v>41</v>
      </c>
      <c r="B417" t="s">
        <v>71</v>
      </c>
      <c r="C417">
        <v>13.834320180000001</v>
      </c>
      <c r="D417" t="s">
        <v>72</v>
      </c>
      <c r="E417" t="s">
        <v>47</v>
      </c>
      <c r="F417" t="s">
        <v>73</v>
      </c>
    </row>
    <row r="418" spans="1:6" x14ac:dyDescent="0.3">
      <c r="A418" t="s">
        <v>7</v>
      </c>
      <c r="B418" t="s">
        <v>74</v>
      </c>
      <c r="C418">
        <v>10</v>
      </c>
      <c r="D418" t="s">
        <v>75</v>
      </c>
      <c r="E418" t="s">
        <v>76</v>
      </c>
      <c r="F418" t="s">
        <v>77</v>
      </c>
    </row>
    <row r="419" spans="1:6" x14ac:dyDescent="0.3">
      <c r="A419" t="s">
        <v>12</v>
      </c>
      <c r="B419" t="s">
        <v>74</v>
      </c>
      <c r="C419">
        <v>5</v>
      </c>
      <c r="D419" t="s">
        <v>75</v>
      </c>
      <c r="E419" t="s">
        <v>76</v>
      </c>
      <c r="F419" t="s">
        <v>77</v>
      </c>
    </row>
    <row r="420" spans="1:6" x14ac:dyDescent="0.3">
      <c r="A420" t="s">
        <v>13</v>
      </c>
      <c r="B420" t="s">
        <v>74</v>
      </c>
      <c r="C420">
        <v>10</v>
      </c>
      <c r="D420" t="s">
        <v>75</v>
      </c>
      <c r="E420" t="s">
        <v>76</v>
      </c>
      <c r="F420" t="s">
        <v>77</v>
      </c>
    </row>
    <row r="421" spans="1:6" x14ac:dyDescent="0.3">
      <c r="A421" t="s">
        <v>14</v>
      </c>
      <c r="B421" t="s">
        <v>74</v>
      </c>
      <c r="C421">
        <v>15</v>
      </c>
      <c r="D421" t="s">
        <v>75</v>
      </c>
      <c r="E421" t="s">
        <v>76</v>
      </c>
      <c r="F421" t="s">
        <v>77</v>
      </c>
    </row>
    <row r="422" spans="1:6" x14ac:dyDescent="0.3">
      <c r="A422" t="s">
        <v>15</v>
      </c>
      <c r="B422" t="s">
        <v>74</v>
      </c>
      <c r="C422">
        <v>30</v>
      </c>
      <c r="D422" t="s">
        <v>75</v>
      </c>
      <c r="E422" t="s">
        <v>76</v>
      </c>
      <c r="F422" t="s">
        <v>77</v>
      </c>
    </row>
    <row r="423" spans="1:6" x14ac:dyDescent="0.3">
      <c r="A423" t="s">
        <v>16</v>
      </c>
      <c r="B423" t="s">
        <v>74</v>
      </c>
      <c r="C423">
        <v>5</v>
      </c>
      <c r="D423" t="s">
        <v>75</v>
      </c>
      <c r="E423" t="s">
        <v>76</v>
      </c>
      <c r="F423" t="s">
        <v>77</v>
      </c>
    </row>
    <row r="424" spans="1:6" x14ac:dyDescent="0.3">
      <c r="A424" t="s">
        <v>17</v>
      </c>
      <c r="B424" t="s">
        <v>74</v>
      </c>
      <c r="C424">
        <v>42</v>
      </c>
      <c r="D424" t="s">
        <v>75</v>
      </c>
      <c r="E424" t="s">
        <v>76</v>
      </c>
      <c r="F424" t="s">
        <v>77</v>
      </c>
    </row>
    <row r="425" spans="1:6" x14ac:dyDescent="0.3">
      <c r="A425" t="s">
        <v>18</v>
      </c>
      <c r="B425" t="s">
        <v>74</v>
      </c>
      <c r="C425">
        <v>10</v>
      </c>
      <c r="D425" t="s">
        <v>75</v>
      </c>
      <c r="E425" t="s">
        <v>76</v>
      </c>
      <c r="F425" t="s">
        <v>77</v>
      </c>
    </row>
    <row r="426" spans="1:6" x14ac:dyDescent="0.3">
      <c r="A426" t="s">
        <v>19</v>
      </c>
      <c r="B426" t="s">
        <v>74</v>
      </c>
      <c r="C426">
        <v>15</v>
      </c>
      <c r="D426" t="s">
        <v>75</v>
      </c>
      <c r="E426" t="s">
        <v>76</v>
      </c>
      <c r="F426" t="s">
        <v>77</v>
      </c>
    </row>
    <row r="427" spans="1:6" x14ac:dyDescent="0.3">
      <c r="A427" t="s">
        <v>20</v>
      </c>
      <c r="B427" t="s">
        <v>74</v>
      </c>
      <c r="C427">
        <v>5</v>
      </c>
      <c r="D427" t="s">
        <v>75</v>
      </c>
      <c r="E427" t="s">
        <v>76</v>
      </c>
      <c r="F427" t="s">
        <v>77</v>
      </c>
    </row>
    <row r="428" spans="1:6" x14ac:dyDescent="0.3">
      <c r="A428" t="s">
        <v>21</v>
      </c>
      <c r="B428" t="s">
        <v>74</v>
      </c>
      <c r="C428">
        <v>5</v>
      </c>
      <c r="D428" t="s">
        <v>75</v>
      </c>
      <c r="E428" t="s">
        <v>76</v>
      </c>
      <c r="F428" t="s">
        <v>77</v>
      </c>
    </row>
    <row r="429" spans="1:6" x14ac:dyDescent="0.3">
      <c r="A429" t="s">
        <v>22</v>
      </c>
      <c r="B429" t="s">
        <v>74</v>
      </c>
      <c r="C429">
        <v>10</v>
      </c>
      <c r="D429" t="s">
        <v>75</v>
      </c>
      <c r="E429" t="s">
        <v>76</v>
      </c>
      <c r="F429" t="s">
        <v>77</v>
      </c>
    </row>
    <row r="430" spans="1:6" x14ac:dyDescent="0.3">
      <c r="A430" t="s">
        <v>23</v>
      </c>
      <c r="B430" t="s">
        <v>74</v>
      </c>
      <c r="C430">
        <v>56</v>
      </c>
      <c r="D430" t="s">
        <v>75</v>
      </c>
      <c r="E430" t="s">
        <v>76</v>
      </c>
      <c r="F430" t="s">
        <v>77</v>
      </c>
    </row>
    <row r="431" spans="1:6" x14ac:dyDescent="0.3">
      <c r="A431" t="s">
        <v>24</v>
      </c>
      <c r="B431" t="s">
        <v>74</v>
      </c>
      <c r="C431">
        <v>5</v>
      </c>
      <c r="D431" t="s">
        <v>75</v>
      </c>
      <c r="E431" t="s">
        <v>76</v>
      </c>
      <c r="F431" t="s">
        <v>77</v>
      </c>
    </row>
    <row r="432" spans="1:6" x14ac:dyDescent="0.3">
      <c r="A432" t="s">
        <v>25</v>
      </c>
      <c r="B432" t="s">
        <v>74</v>
      </c>
      <c r="C432">
        <v>20</v>
      </c>
      <c r="D432" t="s">
        <v>75</v>
      </c>
      <c r="E432" t="s">
        <v>76</v>
      </c>
      <c r="F432" t="s">
        <v>77</v>
      </c>
    </row>
    <row r="433" spans="1:6" x14ac:dyDescent="0.3">
      <c r="A433" t="s">
        <v>26</v>
      </c>
      <c r="B433" t="s">
        <v>74</v>
      </c>
      <c r="C433">
        <v>15</v>
      </c>
      <c r="D433" t="s">
        <v>75</v>
      </c>
      <c r="E433" t="s">
        <v>76</v>
      </c>
      <c r="F433" t="s">
        <v>77</v>
      </c>
    </row>
    <row r="434" spans="1:6" x14ac:dyDescent="0.3">
      <c r="A434" t="s">
        <v>0</v>
      </c>
      <c r="B434" t="s">
        <v>74</v>
      </c>
      <c r="C434">
        <v>45</v>
      </c>
      <c r="D434" t="s">
        <v>75</v>
      </c>
      <c r="E434" t="s">
        <v>76</v>
      </c>
      <c r="F434" t="s">
        <v>77</v>
      </c>
    </row>
    <row r="435" spans="1:6" x14ac:dyDescent="0.3">
      <c r="A435" t="s">
        <v>27</v>
      </c>
      <c r="B435" t="s">
        <v>74</v>
      </c>
      <c r="C435">
        <v>15</v>
      </c>
      <c r="D435" t="s">
        <v>75</v>
      </c>
      <c r="E435" t="s">
        <v>76</v>
      </c>
      <c r="F435" t="s">
        <v>77</v>
      </c>
    </row>
    <row r="436" spans="1:6" x14ac:dyDescent="0.3">
      <c r="A436" t="s">
        <v>28</v>
      </c>
      <c r="B436" t="s">
        <v>74</v>
      </c>
      <c r="C436">
        <v>60</v>
      </c>
      <c r="D436" t="s">
        <v>75</v>
      </c>
      <c r="E436" t="s">
        <v>76</v>
      </c>
      <c r="F436" t="s">
        <v>77</v>
      </c>
    </row>
    <row r="437" spans="1:6" x14ac:dyDescent="0.3">
      <c r="A437" t="s">
        <v>29</v>
      </c>
      <c r="B437" t="s">
        <v>74</v>
      </c>
      <c r="C437">
        <v>5</v>
      </c>
      <c r="D437" t="s">
        <v>75</v>
      </c>
      <c r="E437" t="s">
        <v>76</v>
      </c>
      <c r="F437" t="s">
        <v>77</v>
      </c>
    </row>
    <row r="438" spans="1:6" x14ac:dyDescent="0.3">
      <c r="A438" t="s">
        <v>30</v>
      </c>
      <c r="B438" t="s">
        <v>74</v>
      </c>
      <c r="C438">
        <v>10</v>
      </c>
      <c r="D438" t="s">
        <v>75</v>
      </c>
      <c r="E438" t="s">
        <v>76</v>
      </c>
      <c r="F438" t="s">
        <v>77</v>
      </c>
    </row>
    <row r="439" spans="1:6" x14ac:dyDescent="0.3">
      <c r="A439" t="s">
        <v>31</v>
      </c>
      <c r="B439" t="s">
        <v>74</v>
      </c>
      <c r="C439">
        <v>5</v>
      </c>
      <c r="D439" t="s">
        <v>75</v>
      </c>
      <c r="E439" t="s">
        <v>76</v>
      </c>
      <c r="F439" t="s">
        <v>77</v>
      </c>
    </row>
    <row r="440" spans="1:6" x14ac:dyDescent="0.3">
      <c r="A440" t="s">
        <v>32</v>
      </c>
      <c r="B440" t="s">
        <v>74</v>
      </c>
      <c r="C440">
        <v>60</v>
      </c>
      <c r="D440" t="s">
        <v>75</v>
      </c>
      <c r="E440" t="s">
        <v>76</v>
      </c>
      <c r="F440" t="s">
        <v>77</v>
      </c>
    </row>
    <row r="441" spans="1:6" x14ac:dyDescent="0.3">
      <c r="A441" t="s">
        <v>33</v>
      </c>
      <c r="B441" t="s">
        <v>74</v>
      </c>
      <c r="C441">
        <v>5</v>
      </c>
      <c r="D441" t="s">
        <v>75</v>
      </c>
      <c r="E441" t="s">
        <v>76</v>
      </c>
      <c r="F441" t="s">
        <v>77</v>
      </c>
    </row>
    <row r="442" spans="1:6" x14ac:dyDescent="0.3">
      <c r="A442" t="s">
        <v>34</v>
      </c>
      <c r="B442" t="s">
        <v>74</v>
      </c>
      <c r="C442">
        <v>15</v>
      </c>
      <c r="D442" t="s">
        <v>75</v>
      </c>
      <c r="E442" t="s">
        <v>76</v>
      </c>
      <c r="F442" t="s">
        <v>77</v>
      </c>
    </row>
    <row r="443" spans="1:6" x14ac:dyDescent="0.3">
      <c r="A443" t="s">
        <v>35</v>
      </c>
      <c r="B443" t="s">
        <v>74</v>
      </c>
      <c r="C443">
        <v>5</v>
      </c>
      <c r="D443" t="s">
        <v>75</v>
      </c>
      <c r="E443" t="s">
        <v>76</v>
      </c>
      <c r="F443" t="s">
        <v>77</v>
      </c>
    </row>
    <row r="444" spans="1:6" x14ac:dyDescent="0.3">
      <c r="A444" t="s">
        <v>36</v>
      </c>
      <c r="B444" t="s">
        <v>74</v>
      </c>
      <c r="C444">
        <v>5</v>
      </c>
      <c r="D444" t="s">
        <v>75</v>
      </c>
      <c r="E444" t="s">
        <v>76</v>
      </c>
      <c r="F444" t="s">
        <v>77</v>
      </c>
    </row>
    <row r="445" spans="1:6" x14ac:dyDescent="0.3">
      <c r="A445" t="s">
        <v>37</v>
      </c>
      <c r="B445" t="s">
        <v>74</v>
      </c>
      <c r="C445">
        <v>10</v>
      </c>
      <c r="D445" t="s">
        <v>75</v>
      </c>
      <c r="E445" t="s">
        <v>76</v>
      </c>
      <c r="F445" t="s">
        <v>77</v>
      </c>
    </row>
    <row r="446" spans="1:6" x14ac:dyDescent="0.3">
      <c r="A446" t="s">
        <v>38</v>
      </c>
      <c r="B446" t="s">
        <v>74</v>
      </c>
      <c r="C446">
        <v>45</v>
      </c>
      <c r="D446" t="s">
        <v>75</v>
      </c>
      <c r="E446" t="s">
        <v>76</v>
      </c>
      <c r="F446" t="s">
        <v>77</v>
      </c>
    </row>
    <row r="447" spans="1:6" x14ac:dyDescent="0.3">
      <c r="A447" t="s">
        <v>39</v>
      </c>
      <c r="B447" t="s">
        <v>74</v>
      </c>
      <c r="C447">
        <v>5</v>
      </c>
      <c r="D447" t="s">
        <v>75</v>
      </c>
      <c r="E447" t="s">
        <v>76</v>
      </c>
      <c r="F447" t="s">
        <v>77</v>
      </c>
    </row>
    <row r="448" spans="1:6" x14ac:dyDescent="0.3">
      <c r="A448" t="s">
        <v>40</v>
      </c>
      <c r="B448" t="s">
        <v>74</v>
      </c>
      <c r="C448">
        <v>10</v>
      </c>
      <c r="D448" t="s">
        <v>75</v>
      </c>
      <c r="E448" t="s">
        <v>76</v>
      </c>
      <c r="F448" t="s">
        <v>77</v>
      </c>
    </row>
    <row r="449" spans="1:6" x14ac:dyDescent="0.3">
      <c r="A449" t="s">
        <v>41</v>
      </c>
      <c r="B449" t="s">
        <v>74</v>
      </c>
      <c r="C449">
        <v>45</v>
      </c>
      <c r="D449" t="s">
        <v>75</v>
      </c>
      <c r="E449" t="s">
        <v>76</v>
      </c>
      <c r="F449" t="s">
        <v>77</v>
      </c>
    </row>
    <row r="450" spans="1:6" x14ac:dyDescent="0.3">
      <c r="A450" t="s">
        <v>7</v>
      </c>
      <c r="B450" t="s">
        <v>78</v>
      </c>
      <c r="C450">
        <v>39.4</v>
      </c>
      <c r="D450" t="s">
        <v>79</v>
      </c>
      <c r="E450" t="s">
        <v>10</v>
      </c>
      <c r="F450" t="s">
        <v>80</v>
      </c>
    </row>
    <row r="451" spans="1:6" x14ac:dyDescent="0.3">
      <c r="A451" t="s">
        <v>12</v>
      </c>
      <c r="B451" t="s">
        <v>78</v>
      </c>
      <c r="C451">
        <v>21.6</v>
      </c>
      <c r="D451" t="s">
        <v>79</v>
      </c>
      <c r="E451" t="s">
        <v>10</v>
      </c>
      <c r="F451" t="s">
        <v>80</v>
      </c>
    </row>
    <row r="452" spans="1:6" x14ac:dyDescent="0.3">
      <c r="A452" t="s">
        <v>13</v>
      </c>
      <c r="B452" t="s">
        <v>78</v>
      </c>
      <c r="C452">
        <v>17.7</v>
      </c>
      <c r="D452" t="s">
        <v>79</v>
      </c>
      <c r="E452" t="s">
        <v>10</v>
      </c>
      <c r="F452" t="s">
        <v>80</v>
      </c>
    </row>
    <row r="453" spans="1:6" x14ac:dyDescent="0.3">
      <c r="A453" t="s">
        <v>14</v>
      </c>
      <c r="B453" t="s">
        <v>78</v>
      </c>
      <c r="C453">
        <v>38.700000000000003</v>
      </c>
      <c r="D453" t="s">
        <v>79</v>
      </c>
      <c r="E453" t="s">
        <v>10</v>
      </c>
      <c r="F453" t="s">
        <v>80</v>
      </c>
    </row>
    <row r="454" spans="1:6" x14ac:dyDescent="0.3">
      <c r="A454" t="s">
        <v>15</v>
      </c>
      <c r="B454" t="s">
        <v>78</v>
      </c>
      <c r="C454">
        <v>64.099999999999994</v>
      </c>
      <c r="D454" t="s">
        <v>79</v>
      </c>
      <c r="E454" t="s">
        <v>10</v>
      </c>
      <c r="F454" t="s">
        <v>80</v>
      </c>
    </row>
    <row r="455" spans="1:6" x14ac:dyDescent="0.3">
      <c r="A455" t="s">
        <v>16</v>
      </c>
      <c r="B455" t="s">
        <v>78</v>
      </c>
      <c r="C455">
        <v>23.7</v>
      </c>
      <c r="D455" t="s">
        <v>79</v>
      </c>
      <c r="E455" t="s">
        <v>10</v>
      </c>
      <c r="F455" t="s">
        <v>80</v>
      </c>
    </row>
    <row r="456" spans="1:6" x14ac:dyDescent="0.3">
      <c r="A456" t="s">
        <v>17</v>
      </c>
      <c r="B456" t="s">
        <v>78</v>
      </c>
      <c r="C456">
        <v>23.9</v>
      </c>
      <c r="D456" t="s">
        <v>79</v>
      </c>
      <c r="E456" t="s">
        <v>10</v>
      </c>
      <c r="F456" t="s">
        <v>80</v>
      </c>
    </row>
    <row r="457" spans="1:6" x14ac:dyDescent="0.3">
      <c r="A457" t="s">
        <v>18</v>
      </c>
      <c r="B457" t="s">
        <v>78</v>
      </c>
      <c r="C457">
        <v>25.4</v>
      </c>
      <c r="D457" t="s">
        <v>79</v>
      </c>
      <c r="E457" t="s">
        <v>10</v>
      </c>
      <c r="F457" t="s">
        <v>80</v>
      </c>
    </row>
    <row r="458" spans="1:6" x14ac:dyDescent="0.3">
      <c r="A458" t="s">
        <v>19</v>
      </c>
      <c r="B458" t="s">
        <v>78</v>
      </c>
      <c r="C458">
        <v>23</v>
      </c>
      <c r="D458" t="s">
        <v>79</v>
      </c>
      <c r="E458" t="s">
        <v>10</v>
      </c>
      <c r="F458" t="s">
        <v>80</v>
      </c>
    </row>
    <row r="459" spans="1:6" x14ac:dyDescent="0.3">
      <c r="A459" t="s">
        <v>20</v>
      </c>
      <c r="B459" t="s">
        <v>78</v>
      </c>
      <c r="C459">
        <v>32.700000000000003</v>
      </c>
      <c r="D459" t="s">
        <v>79</v>
      </c>
      <c r="E459" t="s">
        <v>10</v>
      </c>
      <c r="F459" t="s">
        <v>80</v>
      </c>
    </row>
    <row r="460" spans="1:6" x14ac:dyDescent="0.3">
      <c r="A460" t="s">
        <v>21</v>
      </c>
      <c r="B460" t="s">
        <v>78</v>
      </c>
      <c r="C460">
        <v>40.1</v>
      </c>
      <c r="D460" t="s">
        <v>79</v>
      </c>
      <c r="E460" t="s">
        <v>10</v>
      </c>
      <c r="F460" t="s">
        <v>80</v>
      </c>
    </row>
    <row r="461" spans="1:6" x14ac:dyDescent="0.3">
      <c r="A461" t="s">
        <v>22</v>
      </c>
      <c r="B461" t="s">
        <v>78</v>
      </c>
      <c r="C461">
        <v>57.7</v>
      </c>
      <c r="D461" t="s">
        <v>79</v>
      </c>
      <c r="E461" t="s">
        <v>10</v>
      </c>
      <c r="F461" t="s">
        <v>80</v>
      </c>
    </row>
    <row r="462" spans="1:6" x14ac:dyDescent="0.3">
      <c r="A462" t="s">
        <v>23</v>
      </c>
      <c r="B462" t="s">
        <v>78</v>
      </c>
      <c r="C462">
        <v>45.6</v>
      </c>
      <c r="D462" t="s">
        <v>79</v>
      </c>
      <c r="E462" t="s">
        <v>10</v>
      </c>
      <c r="F462" t="s">
        <v>80</v>
      </c>
    </row>
    <row r="463" spans="1:6" x14ac:dyDescent="0.3">
      <c r="A463" t="s">
        <v>24</v>
      </c>
      <c r="B463" t="s">
        <v>78</v>
      </c>
      <c r="C463">
        <v>27</v>
      </c>
      <c r="D463" t="s">
        <v>79</v>
      </c>
      <c r="E463" t="s">
        <v>10</v>
      </c>
      <c r="F463" t="s">
        <v>80</v>
      </c>
    </row>
    <row r="464" spans="1:6" x14ac:dyDescent="0.3">
      <c r="A464" t="s">
        <v>25</v>
      </c>
      <c r="B464" t="s">
        <v>78</v>
      </c>
      <c r="C464">
        <v>39.200000000000003</v>
      </c>
      <c r="D464" t="s">
        <v>79</v>
      </c>
      <c r="E464" t="s">
        <v>10</v>
      </c>
      <c r="F464" t="s">
        <v>80</v>
      </c>
    </row>
    <row r="465" spans="1:6" x14ac:dyDescent="0.3">
      <c r="A465" t="s">
        <v>26</v>
      </c>
      <c r="B465" t="s">
        <v>78</v>
      </c>
      <c r="C465">
        <v>47.4</v>
      </c>
      <c r="D465" t="s">
        <v>79</v>
      </c>
      <c r="E465" t="s">
        <v>10</v>
      </c>
      <c r="F465" t="s">
        <v>80</v>
      </c>
    </row>
    <row r="466" spans="1:6" x14ac:dyDescent="0.3">
      <c r="A466" t="s">
        <v>0</v>
      </c>
      <c r="B466" t="s">
        <v>78</v>
      </c>
      <c r="C466">
        <v>35.1</v>
      </c>
      <c r="D466" t="s">
        <v>79</v>
      </c>
      <c r="E466" t="s">
        <v>10</v>
      </c>
      <c r="F466" t="s">
        <v>80</v>
      </c>
    </row>
    <row r="467" spans="1:6" x14ac:dyDescent="0.3">
      <c r="A467" t="s">
        <v>27</v>
      </c>
      <c r="B467" t="s">
        <v>78</v>
      </c>
      <c r="C467">
        <v>27.9</v>
      </c>
      <c r="D467" t="s">
        <v>79</v>
      </c>
      <c r="E467" t="s">
        <v>10</v>
      </c>
      <c r="F467" t="s">
        <v>80</v>
      </c>
    </row>
    <row r="468" spans="1:6" x14ac:dyDescent="0.3">
      <c r="A468" t="s">
        <v>28</v>
      </c>
      <c r="B468" t="s">
        <v>78</v>
      </c>
      <c r="C468">
        <v>23.3</v>
      </c>
      <c r="D468" t="s">
        <v>79</v>
      </c>
      <c r="E468" t="s">
        <v>10</v>
      </c>
      <c r="F468" t="s">
        <v>80</v>
      </c>
    </row>
    <row r="469" spans="1:6" x14ac:dyDescent="0.3">
      <c r="A469" t="s">
        <v>29</v>
      </c>
      <c r="B469" t="s">
        <v>78</v>
      </c>
      <c r="C469">
        <v>61.9</v>
      </c>
      <c r="D469" t="s">
        <v>79</v>
      </c>
      <c r="E469" t="s">
        <v>10</v>
      </c>
      <c r="F469" t="s">
        <v>80</v>
      </c>
    </row>
    <row r="470" spans="1:6" x14ac:dyDescent="0.3">
      <c r="A470" t="s">
        <v>30</v>
      </c>
      <c r="B470" t="s">
        <v>78</v>
      </c>
      <c r="C470">
        <v>44.4</v>
      </c>
      <c r="D470" t="s">
        <v>79</v>
      </c>
      <c r="E470" t="s">
        <v>10</v>
      </c>
      <c r="F470" t="s">
        <v>80</v>
      </c>
    </row>
    <row r="471" spans="1:6" x14ac:dyDescent="0.3">
      <c r="A471" t="s">
        <v>31</v>
      </c>
      <c r="B471" t="s">
        <v>78</v>
      </c>
      <c r="C471">
        <v>32.5</v>
      </c>
      <c r="D471" t="s">
        <v>79</v>
      </c>
      <c r="E471" t="s">
        <v>10</v>
      </c>
      <c r="F471" t="s">
        <v>80</v>
      </c>
    </row>
    <row r="472" spans="1:6" x14ac:dyDescent="0.3">
      <c r="A472" t="s">
        <v>32</v>
      </c>
      <c r="B472" t="s">
        <v>78</v>
      </c>
      <c r="C472">
        <v>22.3</v>
      </c>
      <c r="D472" t="s">
        <v>79</v>
      </c>
      <c r="E472" t="s">
        <v>10</v>
      </c>
      <c r="F472" t="s">
        <v>80</v>
      </c>
    </row>
    <row r="473" spans="1:6" x14ac:dyDescent="0.3">
      <c r="A473" t="s">
        <v>33</v>
      </c>
      <c r="B473" t="s">
        <v>78</v>
      </c>
      <c r="C473">
        <v>39.700000000000003</v>
      </c>
      <c r="D473" t="s">
        <v>79</v>
      </c>
      <c r="E473" t="s">
        <v>10</v>
      </c>
      <c r="F473" t="s">
        <v>80</v>
      </c>
    </row>
    <row r="474" spans="1:6" x14ac:dyDescent="0.3">
      <c r="A474" t="s">
        <v>34</v>
      </c>
      <c r="B474" t="s">
        <v>78</v>
      </c>
      <c r="C474">
        <v>28.5</v>
      </c>
      <c r="D474" t="s">
        <v>79</v>
      </c>
      <c r="E474" t="s">
        <v>10</v>
      </c>
      <c r="F474" t="s">
        <v>80</v>
      </c>
    </row>
    <row r="475" spans="1:6" x14ac:dyDescent="0.3">
      <c r="A475" t="s">
        <v>35</v>
      </c>
      <c r="B475" t="s">
        <v>78</v>
      </c>
      <c r="C475">
        <v>30.3</v>
      </c>
      <c r="D475" t="s">
        <v>79</v>
      </c>
      <c r="E475" t="s">
        <v>10</v>
      </c>
      <c r="F475" t="s">
        <v>80</v>
      </c>
    </row>
    <row r="476" spans="1:6" x14ac:dyDescent="0.3">
      <c r="A476" t="s">
        <v>36</v>
      </c>
      <c r="B476" t="s">
        <v>78</v>
      </c>
      <c r="C476">
        <v>45.3</v>
      </c>
      <c r="D476" t="s">
        <v>79</v>
      </c>
      <c r="E476" t="s">
        <v>10</v>
      </c>
      <c r="F476" t="s">
        <v>80</v>
      </c>
    </row>
    <row r="477" spans="1:6" x14ac:dyDescent="0.3">
      <c r="A477" t="s">
        <v>37</v>
      </c>
      <c r="B477" t="s">
        <v>78</v>
      </c>
      <c r="C477">
        <v>29.5</v>
      </c>
      <c r="D477" t="s">
        <v>79</v>
      </c>
      <c r="E477" t="s">
        <v>10</v>
      </c>
      <c r="F477" t="s">
        <v>80</v>
      </c>
    </row>
    <row r="478" spans="1:6" x14ac:dyDescent="0.3">
      <c r="A478" t="s">
        <v>38</v>
      </c>
      <c r="B478" t="s">
        <v>78</v>
      </c>
      <c r="C478">
        <v>45.4</v>
      </c>
      <c r="D478" t="s">
        <v>79</v>
      </c>
      <c r="E478" t="s">
        <v>10</v>
      </c>
      <c r="F478" t="s">
        <v>80</v>
      </c>
    </row>
    <row r="479" spans="1:6" x14ac:dyDescent="0.3">
      <c r="A479" t="s">
        <v>39</v>
      </c>
      <c r="B479" t="s">
        <v>78</v>
      </c>
      <c r="C479">
        <v>49.1</v>
      </c>
      <c r="D479" t="s">
        <v>79</v>
      </c>
      <c r="E479" t="s">
        <v>10</v>
      </c>
      <c r="F479" t="s">
        <v>80</v>
      </c>
    </row>
    <row r="480" spans="1:6" x14ac:dyDescent="0.3">
      <c r="A480" t="s">
        <v>40</v>
      </c>
      <c r="B480" t="s">
        <v>78</v>
      </c>
      <c r="C480">
        <v>29.8</v>
      </c>
      <c r="D480" t="s">
        <v>79</v>
      </c>
      <c r="E480" t="s">
        <v>10</v>
      </c>
      <c r="F480" t="s">
        <v>80</v>
      </c>
    </row>
    <row r="481" spans="1:6" x14ac:dyDescent="0.3">
      <c r="A481" t="s">
        <v>41</v>
      </c>
      <c r="B481" t="s">
        <v>78</v>
      </c>
      <c r="C481">
        <v>43.8</v>
      </c>
      <c r="D481" t="s">
        <v>79</v>
      </c>
      <c r="E481" t="s">
        <v>10</v>
      </c>
      <c r="F481" t="s">
        <v>80</v>
      </c>
    </row>
    <row r="482" spans="1:6" x14ac:dyDescent="0.3">
      <c r="A482" t="s">
        <v>7</v>
      </c>
      <c r="B482" t="s">
        <v>81</v>
      </c>
      <c r="C482">
        <v>18.17166628</v>
      </c>
      <c r="D482" t="s">
        <v>82</v>
      </c>
      <c r="E482" t="s">
        <v>10</v>
      </c>
      <c r="F482" t="s">
        <v>51</v>
      </c>
    </row>
    <row r="483" spans="1:6" x14ac:dyDescent="0.3">
      <c r="A483" t="s">
        <v>12</v>
      </c>
      <c r="B483" t="s">
        <v>81</v>
      </c>
      <c r="C483">
        <v>16.95631667</v>
      </c>
      <c r="D483" t="s">
        <v>82</v>
      </c>
      <c r="E483" t="s">
        <v>10</v>
      </c>
      <c r="F483" t="s">
        <v>51</v>
      </c>
    </row>
    <row r="484" spans="1:6" x14ac:dyDescent="0.3">
      <c r="A484" t="s">
        <v>13</v>
      </c>
      <c r="B484" t="s">
        <v>81</v>
      </c>
      <c r="C484">
        <v>19.10313214</v>
      </c>
      <c r="D484" t="s">
        <v>82</v>
      </c>
      <c r="E484" t="s">
        <v>10</v>
      </c>
      <c r="F484" t="s">
        <v>51</v>
      </c>
    </row>
    <row r="485" spans="1:6" x14ac:dyDescent="0.3">
      <c r="A485" t="s">
        <v>14</v>
      </c>
      <c r="B485" t="s">
        <v>81</v>
      </c>
      <c r="C485">
        <v>23.33007782</v>
      </c>
      <c r="D485" t="s">
        <v>82</v>
      </c>
      <c r="E485" t="s">
        <v>10</v>
      </c>
      <c r="F485" t="s">
        <v>51</v>
      </c>
    </row>
    <row r="486" spans="1:6" x14ac:dyDescent="0.3">
      <c r="A486" t="s">
        <v>15</v>
      </c>
      <c r="B486" t="s">
        <v>81</v>
      </c>
      <c r="C486">
        <v>12.396624660000001</v>
      </c>
      <c r="D486" t="s">
        <v>82</v>
      </c>
      <c r="E486" t="s">
        <v>10</v>
      </c>
      <c r="F486" t="s">
        <v>51</v>
      </c>
    </row>
    <row r="487" spans="1:6" x14ac:dyDescent="0.3">
      <c r="A487" t="s">
        <v>16</v>
      </c>
      <c r="B487" t="s">
        <v>81</v>
      </c>
      <c r="C487">
        <v>19.5472766</v>
      </c>
      <c r="D487" t="s">
        <v>82</v>
      </c>
      <c r="E487" t="s">
        <v>10</v>
      </c>
      <c r="F487" t="s">
        <v>51</v>
      </c>
    </row>
    <row r="488" spans="1:6" x14ac:dyDescent="0.3">
      <c r="A488" t="s">
        <v>17</v>
      </c>
      <c r="B488" t="s">
        <v>81</v>
      </c>
      <c r="C488">
        <v>17.316256169999999</v>
      </c>
      <c r="D488" t="s">
        <v>82</v>
      </c>
      <c r="E488" t="s">
        <v>10</v>
      </c>
      <c r="F488" t="s">
        <v>51</v>
      </c>
    </row>
    <row r="489" spans="1:6" x14ac:dyDescent="0.3">
      <c r="A489" t="s">
        <v>18</v>
      </c>
      <c r="B489" t="s">
        <v>81</v>
      </c>
      <c r="C489">
        <v>17.634275559999999</v>
      </c>
      <c r="D489" t="s">
        <v>82</v>
      </c>
      <c r="E489" t="s">
        <v>10</v>
      </c>
      <c r="F489" t="s">
        <v>51</v>
      </c>
    </row>
    <row r="490" spans="1:6" x14ac:dyDescent="0.3">
      <c r="A490" t="s">
        <v>19</v>
      </c>
      <c r="B490" t="s">
        <v>81</v>
      </c>
      <c r="C490">
        <v>20.767516610000001</v>
      </c>
      <c r="D490" t="s">
        <v>82</v>
      </c>
      <c r="E490" t="s">
        <v>10</v>
      </c>
      <c r="F490" t="s">
        <v>51</v>
      </c>
    </row>
    <row r="491" spans="1:6" x14ac:dyDescent="0.3">
      <c r="A491" t="s">
        <v>20</v>
      </c>
      <c r="B491" t="s">
        <v>81</v>
      </c>
      <c r="C491">
        <v>17.005713960000001</v>
      </c>
      <c r="D491" t="s">
        <v>82</v>
      </c>
      <c r="E491" t="s">
        <v>10</v>
      </c>
      <c r="F491" t="s">
        <v>51</v>
      </c>
    </row>
    <row r="492" spans="1:6" x14ac:dyDescent="0.3">
      <c r="A492" t="s">
        <v>21</v>
      </c>
      <c r="B492" t="s">
        <v>81</v>
      </c>
      <c r="C492">
        <v>15.660868020000001</v>
      </c>
      <c r="D492" t="s">
        <v>82</v>
      </c>
      <c r="E492" t="s">
        <v>10</v>
      </c>
      <c r="F492" t="s">
        <v>51</v>
      </c>
    </row>
    <row r="493" spans="1:6" x14ac:dyDescent="0.3">
      <c r="A493" t="s">
        <v>22</v>
      </c>
      <c r="B493" t="s">
        <v>81</v>
      </c>
      <c r="C493">
        <v>18.696321090000001</v>
      </c>
      <c r="D493" t="s">
        <v>82</v>
      </c>
      <c r="E493" t="s">
        <v>10</v>
      </c>
      <c r="F493" t="s">
        <v>51</v>
      </c>
    </row>
    <row r="494" spans="1:6" x14ac:dyDescent="0.3">
      <c r="A494" t="s">
        <v>23</v>
      </c>
      <c r="B494" t="s">
        <v>81</v>
      </c>
      <c r="C494">
        <v>13.55927462</v>
      </c>
      <c r="D494" t="s">
        <v>82</v>
      </c>
      <c r="E494" t="s">
        <v>10</v>
      </c>
      <c r="F494" t="s">
        <v>51</v>
      </c>
    </row>
    <row r="495" spans="1:6" x14ac:dyDescent="0.3">
      <c r="A495" t="s">
        <v>24</v>
      </c>
      <c r="B495" t="s">
        <v>81</v>
      </c>
      <c r="C495">
        <v>18.305634699999999</v>
      </c>
      <c r="D495" t="s">
        <v>82</v>
      </c>
      <c r="E495" t="s">
        <v>10</v>
      </c>
      <c r="F495" t="s">
        <v>51</v>
      </c>
    </row>
    <row r="496" spans="1:6" x14ac:dyDescent="0.3">
      <c r="A496" t="s">
        <v>25</v>
      </c>
      <c r="B496" t="s">
        <v>81</v>
      </c>
      <c r="C496">
        <v>14.56496053</v>
      </c>
      <c r="D496" t="s">
        <v>82</v>
      </c>
      <c r="E496" t="s">
        <v>10</v>
      </c>
      <c r="F496" t="s">
        <v>51</v>
      </c>
    </row>
    <row r="497" spans="1:6" x14ac:dyDescent="0.3">
      <c r="A497" t="s">
        <v>26</v>
      </c>
      <c r="B497" t="s">
        <v>81</v>
      </c>
      <c r="C497">
        <v>14.000122360000001</v>
      </c>
      <c r="D497" t="s">
        <v>82</v>
      </c>
      <c r="E497" t="s">
        <v>10</v>
      </c>
      <c r="F497" t="s">
        <v>51</v>
      </c>
    </row>
    <row r="498" spans="1:6" x14ac:dyDescent="0.3">
      <c r="A498" t="s">
        <v>0</v>
      </c>
      <c r="B498" t="s">
        <v>81</v>
      </c>
      <c r="C498">
        <v>11.714751980000001</v>
      </c>
      <c r="D498" t="s">
        <v>82</v>
      </c>
      <c r="E498" t="s">
        <v>10</v>
      </c>
      <c r="F498" t="s">
        <v>51</v>
      </c>
    </row>
    <row r="499" spans="1:6" x14ac:dyDescent="0.3">
      <c r="A499" t="s">
        <v>27</v>
      </c>
      <c r="B499" t="s">
        <v>81</v>
      </c>
      <c r="C499">
        <v>18.400888129999998</v>
      </c>
      <c r="D499" t="s">
        <v>82</v>
      </c>
      <c r="E499" t="s">
        <v>10</v>
      </c>
      <c r="F499" t="s">
        <v>51</v>
      </c>
    </row>
    <row r="500" spans="1:6" x14ac:dyDescent="0.3">
      <c r="A500" t="s">
        <v>28</v>
      </c>
      <c r="B500" t="s">
        <v>81</v>
      </c>
      <c r="C500">
        <v>18.419045730000001</v>
      </c>
      <c r="D500" t="s">
        <v>82</v>
      </c>
      <c r="E500" t="s">
        <v>10</v>
      </c>
      <c r="F500" t="s">
        <v>51</v>
      </c>
    </row>
    <row r="501" spans="1:6" x14ac:dyDescent="0.3">
      <c r="A501" t="s">
        <v>29</v>
      </c>
      <c r="B501" t="s">
        <v>81</v>
      </c>
      <c r="C501">
        <v>11.786464860000001</v>
      </c>
      <c r="D501" t="s">
        <v>82</v>
      </c>
      <c r="E501" t="s">
        <v>10</v>
      </c>
      <c r="F501" t="s">
        <v>51</v>
      </c>
    </row>
    <row r="502" spans="1:6" x14ac:dyDescent="0.3">
      <c r="A502" t="s">
        <v>30</v>
      </c>
      <c r="B502" t="s">
        <v>81</v>
      </c>
      <c r="C502">
        <v>13.259249690000001</v>
      </c>
      <c r="D502" t="s">
        <v>82</v>
      </c>
      <c r="E502" t="s">
        <v>10</v>
      </c>
      <c r="F502" t="s">
        <v>51</v>
      </c>
    </row>
    <row r="503" spans="1:6" x14ac:dyDescent="0.3">
      <c r="A503" t="s">
        <v>31</v>
      </c>
      <c r="B503" t="s">
        <v>81</v>
      </c>
      <c r="C503">
        <v>14.90233271</v>
      </c>
      <c r="D503" t="s">
        <v>82</v>
      </c>
      <c r="E503" t="s">
        <v>10</v>
      </c>
      <c r="F503" t="s">
        <v>51</v>
      </c>
    </row>
    <row r="504" spans="1:6" x14ac:dyDescent="0.3">
      <c r="A504" t="s">
        <v>32</v>
      </c>
      <c r="B504" t="s">
        <v>81</v>
      </c>
      <c r="C504">
        <v>15.13045314</v>
      </c>
      <c r="D504" t="s">
        <v>82</v>
      </c>
      <c r="E504" t="s">
        <v>10</v>
      </c>
      <c r="F504" t="s">
        <v>51</v>
      </c>
    </row>
    <row r="505" spans="1:6" x14ac:dyDescent="0.3">
      <c r="A505" t="s">
        <v>33</v>
      </c>
      <c r="B505" t="s">
        <v>81</v>
      </c>
      <c r="C505">
        <v>16.41176918</v>
      </c>
      <c r="D505" t="s">
        <v>82</v>
      </c>
      <c r="E505" t="s">
        <v>10</v>
      </c>
      <c r="F505" t="s">
        <v>51</v>
      </c>
    </row>
    <row r="506" spans="1:6" x14ac:dyDescent="0.3">
      <c r="A506" t="s">
        <v>34</v>
      </c>
      <c r="B506" t="s">
        <v>81</v>
      </c>
      <c r="C506">
        <v>19.7164237</v>
      </c>
      <c r="D506" t="s">
        <v>82</v>
      </c>
      <c r="E506" t="s">
        <v>10</v>
      </c>
      <c r="F506" t="s">
        <v>51</v>
      </c>
    </row>
    <row r="507" spans="1:6" x14ac:dyDescent="0.3">
      <c r="A507" t="s">
        <v>35</v>
      </c>
      <c r="B507" t="s">
        <v>81</v>
      </c>
      <c r="C507">
        <v>22.38740979</v>
      </c>
      <c r="D507" t="s">
        <v>82</v>
      </c>
      <c r="E507" t="s">
        <v>10</v>
      </c>
      <c r="F507" t="s">
        <v>51</v>
      </c>
    </row>
    <row r="508" spans="1:6" x14ac:dyDescent="0.3">
      <c r="A508" t="s">
        <v>36</v>
      </c>
      <c r="B508" t="s">
        <v>81</v>
      </c>
      <c r="C508">
        <v>17.508456169999999</v>
      </c>
      <c r="D508" t="s">
        <v>82</v>
      </c>
      <c r="E508" t="s">
        <v>10</v>
      </c>
      <c r="F508" t="s">
        <v>51</v>
      </c>
    </row>
    <row r="509" spans="1:6" x14ac:dyDescent="0.3">
      <c r="A509" t="s">
        <v>37</v>
      </c>
      <c r="B509" t="s">
        <v>81</v>
      </c>
      <c r="C509">
        <v>19.0815476</v>
      </c>
      <c r="D509" t="s">
        <v>82</v>
      </c>
      <c r="E509" t="s">
        <v>10</v>
      </c>
      <c r="F509" t="s">
        <v>51</v>
      </c>
    </row>
    <row r="510" spans="1:6" x14ac:dyDescent="0.3">
      <c r="A510" t="s">
        <v>38</v>
      </c>
      <c r="B510" t="s">
        <v>81</v>
      </c>
      <c r="C510">
        <v>17.50457261</v>
      </c>
      <c r="D510" t="s">
        <v>82</v>
      </c>
      <c r="E510" t="s">
        <v>10</v>
      </c>
      <c r="F510" t="s">
        <v>51</v>
      </c>
    </row>
    <row r="511" spans="1:6" x14ac:dyDescent="0.3">
      <c r="A511" t="s">
        <v>39</v>
      </c>
      <c r="B511" t="s">
        <v>81</v>
      </c>
      <c r="C511">
        <v>16.164769400000001</v>
      </c>
      <c r="D511" t="s">
        <v>82</v>
      </c>
      <c r="E511" t="s">
        <v>10</v>
      </c>
      <c r="F511" t="s">
        <v>51</v>
      </c>
    </row>
    <row r="512" spans="1:6" x14ac:dyDescent="0.3">
      <c r="A512" t="s">
        <v>40</v>
      </c>
      <c r="B512" t="s">
        <v>81</v>
      </c>
      <c r="C512">
        <v>21.183413309999999</v>
      </c>
      <c r="D512" t="s">
        <v>82</v>
      </c>
      <c r="E512" t="s">
        <v>10</v>
      </c>
      <c r="F512" t="s">
        <v>51</v>
      </c>
    </row>
    <row r="513" spans="1:6" x14ac:dyDescent="0.3">
      <c r="A513" t="s">
        <v>41</v>
      </c>
      <c r="B513" t="s">
        <v>81</v>
      </c>
      <c r="C513">
        <v>14.56286525</v>
      </c>
      <c r="D513" t="s">
        <v>82</v>
      </c>
      <c r="E513" t="s">
        <v>10</v>
      </c>
      <c r="F513" t="s">
        <v>51</v>
      </c>
    </row>
    <row r="514" spans="1:6" x14ac:dyDescent="0.3">
      <c r="A514" t="s">
        <v>7</v>
      </c>
      <c r="B514" t="s">
        <v>83</v>
      </c>
      <c r="C514">
        <v>45.62721561</v>
      </c>
      <c r="D514" t="s">
        <v>84</v>
      </c>
      <c r="E514" t="s">
        <v>10</v>
      </c>
      <c r="F514" t="s">
        <v>11</v>
      </c>
    </row>
    <row r="515" spans="1:6" x14ac:dyDescent="0.3">
      <c r="A515" t="s">
        <v>12</v>
      </c>
      <c r="B515" t="s">
        <v>83</v>
      </c>
      <c r="C515">
        <v>47.13798036</v>
      </c>
      <c r="D515" t="s">
        <v>84</v>
      </c>
      <c r="E515" t="s">
        <v>10</v>
      </c>
      <c r="F515" t="s">
        <v>11</v>
      </c>
    </row>
    <row r="516" spans="1:6" x14ac:dyDescent="0.3">
      <c r="A516" t="s">
        <v>13</v>
      </c>
      <c r="B516" t="s">
        <v>83</v>
      </c>
      <c r="C516">
        <v>57.54274899</v>
      </c>
      <c r="D516" t="s">
        <v>84</v>
      </c>
      <c r="E516" t="s">
        <v>10</v>
      </c>
      <c r="F516" t="s">
        <v>11</v>
      </c>
    </row>
    <row r="517" spans="1:6" x14ac:dyDescent="0.3">
      <c r="A517" t="s">
        <v>14</v>
      </c>
      <c r="B517" t="s">
        <v>83</v>
      </c>
      <c r="C517">
        <v>44.902982489999999</v>
      </c>
      <c r="D517" t="s">
        <v>84</v>
      </c>
      <c r="E517" t="s">
        <v>10</v>
      </c>
      <c r="F517" t="s">
        <v>11</v>
      </c>
    </row>
    <row r="518" spans="1:6" x14ac:dyDescent="0.3">
      <c r="A518" t="s">
        <v>15</v>
      </c>
      <c r="B518" t="s">
        <v>83</v>
      </c>
      <c r="C518">
        <v>30.209421070000001</v>
      </c>
      <c r="D518" t="s">
        <v>84</v>
      </c>
      <c r="E518" t="s">
        <v>10</v>
      </c>
      <c r="F518" t="s">
        <v>11</v>
      </c>
    </row>
    <row r="519" spans="1:6" x14ac:dyDescent="0.3">
      <c r="A519" t="s">
        <v>16</v>
      </c>
      <c r="B519" t="s">
        <v>83</v>
      </c>
      <c r="C519">
        <v>47.964507390000001</v>
      </c>
      <c r="D519" t="s">
        <v>84</v>
      </c>
      <c r="E519" t="s">
        <v>10</v>
      </c>
      <c r="F519" t="s">
        <v>11</v>
      </c>
    </row>
    <row r="520" spans="1:6" x14ac:dyDescent="0.3">
      <c r="A520" t="s">
        <v>17</v>
      </c>
      <c r="B520" t="s">
        <v>83</v>
      </c>
      <c r="C520">
        <v>54.861491129999997</v>
      </c>
      <c r="D520" t="s">
        <v>84</v>
      </c>
      <c r="E520" t="s">
        <v>10</v>
      </c>
      <c r="F520" t="s">
        <v>11</v>
      </c>
    </row>
    <row r="521" spans="1:6" x14ac:dyDescent="0.3">
      <c r="A521" t="s">
        <v>18</v>
      </c>
      <c r="B521" t="s">
        <v>83</v>
      </c>
      <c r="C521">
        <v>46.76640123</v>
      </c>
      <c r="D521" t="s">
        <v>84</v>
      </c>
      <c r="E521" t="s">
        <v>10</v>
      </c>
      <c r="F521" t="s">
        <v>11</v>
      </c>
    </row>
    <row r="522" spans="1:6" x14ac:dyDescent="0.3">
      <c r="A522" t="s">
        <v>19</v>
      </c>
      <c r="B522" t="s">
        <v>83</v>
      </c>
      <c r="C522">
        <v>56.741729769999999</v>
      </c>
      <c r="D522" t="s">
        <v>84</v>
      </c>
      <c r="E522" t="s">
        <v>10</v>
      </c>
      <c r="F522" t="s">
        <v>11</v>
      </c>
    </row>
    <row r="523" spans="1:6" x14ac:dyDescent="0.3">
      <c r="A523" t="s">
        <v>20</v>
      </c>
      <c r="B523" t="s">
        <v>83</v>
      </c>
      <c r="C523">
        <v>47.908814059999997</v>
      </c>
      <c r="D523" t="s">
        <v>84</v>
      </c>
      <c r="E523" t="s">
        <v>10</v>
      </c>
      <c r="F523" t="s">
        <v>11</v>
      </c>
    </row>
    <row r="524" spans="1:6" x14ac:dyDescent="0.3">
      <c r="A524" t="s">
        <v>21</v>
      </c>
      <c r="B524" t="s">
        <v>83</v>
      </c>
      <c r="C524">
        <v>45.763376389999998</v>
      </c>
      <c r="D524" t="s">
        <v>84</v>
      </c>
      <c r="E524" t="s">
        <v>10</v>
      </c>
      <c r="F524" t="s">
        <v>11</v>
      </c>
    </row>
    <row r="525" spans="1:6" x14ac:dyDescent="0.3">
      <c r="A525" t="s">
        <v>22</v>
      </c>
      <c r="B525" t="s">
        <v>83</v>
      </c>
      <c r="C525">
        <v>45.847826869999999</v>
      </c>
      <c r="D525" t="s">
        <v>84</v>
      </c>
      <c r="E525" t="s">
        <v>10</v>
      </c>
      <c r="F525" t="s">
        <v>11</v>
      </c>
    </row>
    <row r="526" spans="1:6" x14ac:dyDescent="0.3">
      <c r="A526" t="s">
        <v>23</v>
      </c>
      <c r="B526" t="s">
        <v>83</v>
      </c>
      <c r="C526">
        <v>44.975140279999998</v>
      </c>
      <c r="D526" t="s">
        <v>84</v>
      </c>
      <c r="E526" t="s">
        <v>10</v>
      </c>
      <c r="F526" t="s">
        <v>11</v>
      </c>
    </row>
    <row r="527" spans="1:6" x14ac:dyDescent="0.3">
      <c r="A527" t="s">
        <v>24</v>
      </c>
      <c r="B527" t="s">
        <v>83</v>
      </c>
      <c r="C527">
        <v>44.842284569999997</v>
      </c>
      <c r="D527" t="s">
        <v>84</v>
      </c>
      <c r="E527" t="s">
        <v>10</v>
      </c>
      <c r="F527" t="s">
        <v>11</v>
      </c>
    </row>
    <row r="528" spans="1:6" x14ac:dyDescent="0.3">
      <c r="A528" t="s">
        <v>25</v>
      </c>
      <c r="B528" t="s">
        <v>83</v>
      </c>
      <c r="C528">
        <v>44.108393130000003</v>
      </c>
      <c r="D528" t="s">
        <v>84</v>
      </c>
      <c r="E528" t="s">
        <v>10</v>
      </c>
      <c r="F528" t="s">
        <v>11</v>
      </c>
    </row>
    <row r="529" spans="1:6" x14ac:dyDescent="0.3">
      <c r="A529" t="s">
        <v>26</v>
      </c>
      <c r="B529" t="s">
        <v>83</v>
      </c>
      <c r="C529">
        <v>44.974709519999998</v>
      </c>
      <c r="D529" t="s">
        <v>84</v>
      </c>
      <c r="E529" t="s">
        <v>10</v>
      </c>
      <c r="F529" t="s">
        <v>11</v>
      </c>
    </row>
    <row r="530" spans="1:6" x14ac:dyDescent="0.3">
      <c r="A530" t="s">
        <v>0</v>
      </c>
      <c r="B530" t="s">
        <v>83</v>
      </c>
      <c r="C530">
        <v>45.563804189999999</v>
      </c>
      <c r="D530" t="s">
        <v>84</v>
      </c>
      <c r="E530" t="s">
        <v>10</v>
      </c>
      <c r="F530" t="s">
        <v>11</v>
      </c>
    </row>
    <row r="531" spans="1:6" x14ac:dyDescent="0.3">
      <c r="A531" t="s">
        <v>27</v>
      </c>
      <c r="B531" t="s">
        <v>83</v>
      </c>
      <c r="C531">
        <v>54.020135619999998</v>
      </c>
      <c r="D531" t="s">
        <v>84</v>
      </c>
      <c r="E531" t="s">
        <v>10</v>
      </c>
      <c r="F531" t="s">
        <v>11</v>
      </c>
    </row>
    <row r="532" spans="1:6" x14ac:dyDescent="0.3">
      <c r="A532" t="s">
        <v>28</v>
      </c>
      <c r="B532" t="s">
        <v>83</v>
      </c>
      <c r="C532">
        <v>48.117463149999999</v>
      </c>
      <c r="D532" t="s">
        <v>84</v>
      </c>
      <c r="E532" t="s">
        <v>10</v>
      </c>
      <c r="F532" t="s">
        <v>11</v>
      </c>
    </row>
    <row r="533" spans="1:6" x14ac:dyDescent="0.3">
      <c r="A533" t="s">
        <v>29</v>
      </c>
      <c r="B533" t="s">
        <v>83</v>
      </c>
      <c r="C533">
        <v>46.316631800000003</v>
      </c>
      <c r="D533" t="s">
        <v>84</v>
      </c>
      <c r="E533" t="s">
        <v>10</v>
      </c>
      <c r="F533" t="s">
        <v>11</v>
      </c>
    </row>
    <row r="534" spans="1:6" x14ac:dyDescent="0.3">
      <c r="A534" t="s">
        <v>30</v>
      </c>
      <c r="B534" t="s">
        <v>83</v>
      </c>
      <c r="C534">
        <v>48.137673589999999</v>
      </c>
      <c r="D534" t="s">
        <v>84</v>
      </c>
      <c r="E534" t="s">
        <v>10</v>
      </c>
      <c r="F534" t="s">
        <v>11</v>
      </c>
    </row>
    <row r="535" spans="1:6" x14ac:dyDescent="0.3">
      <c r="A535" t="s">
        <v>31</v>
      </c>
      <c r="B535" t="s">
        <v>83</v>
      </c>
      <c r="C535">
        <v>47.912325060000001</v>
      </c>
      <c r="D535" t="s">
        <v>84</v>
      </c>
      <c r="E535" t="s">
        <v>10</v>
      </c>
      <c r="F535" t="s">
        <v>11</v>
      </c>
    </row>
    <row r="536" spans="1:6" x14ac:dyDescent="0.3">
      <c r="A536" t="s">
        <v>32</v>
      </c>
      <c r="B536" t="s">
        <v>83</v>
      </c>
      <c r="C536">
        <v>51.255695940000003</v>
      </c>
      <c r="D536" t="s">
        <v>84</v>
      </c>
      <c r="E536" t="s">
        <v>10</v>
      </c>
      <c r="F536" t="s">
        <v>11</v>
      </c>
    </row>
    <row r="537" spans="1:6" x14ac:dyDescent="0.3">
      <c r="A537" t="s">
        <v>33</v>
      </c>
      <c r="B537" t="s">
        <v>83</v>
      </c>
      <c r="C537">
        <v>46.709060659999999</v>
      </c>
      <c r="D537" t="s">
        <v>84</v>
      </c>
      <c r="E537" t="s">
        <v>10</v>
      </c>
      <c r="F537" t="s">
        <v>11</v>
      </c>
    </row>
    <row r="538" spans="1:6" x14ac:dyDescent="0.3">
      <c r="A538" t="s">
        <v>34</v>
      </c>
      <c r="B538" t="s">
        <v>83</v>
      </c>
      <c r="C538">
        <v>48.409457969999998</v>
      </c>
      <c r="D538" t="s">
        <v>84</v>
      </c>
      <c r="E538" t="s">
        <v>10</v>
      </c>
      <c r="F538" t="s">
        <v>11</v>
      </c>
    </row>
    <row r="539" spans="1:6" x14ac:dyDescent="0.3">
      <c r="A539" t="s">
        <v>35</v>
      </c>
      <c r="B539" t="s">
        <v>83</v>
      </c>
      <c r="C539">
        <v>48.77513596</v>
      </c>
      <c r="D539" t="s">
        <v>84</v>
      </c>
      <c r="E539" t="s">
        <v>10</v>
      </c>
      <c r="F539" t="s">
        <v>11</v>
      </c>
    </row>
    <row r="540" spans="1:6" x14ac:dyDescent="0.3">
      <c r="A540" t="s">
        <v>36</v>
      </c>
      <c r="B540" t="s">
        <v>83</v>
      </c>
      <c r="C540">
        <v>38.531559809999997</v>
      </c>
      <c r="D540" t="s">
        <v>84</v>
      </c>
      <c r="E540" t="s">
        <v>10</v>
      </c>
      <c r="F540" t="s">
        <v>11</v>
      </c>
    </row>
    <row r="541" spans="1:6" x14ac:dyDescent="0.3">
      <c r="A541" t="s">
        <v>37</v>
      </c>
      <c r="B541" t="s">
        <v>83</v>
      </c>
      <c r="C541">
        <v>47.825429640000003</v>
      </c>
      <c r="D541" t="s">
        <v>84</v>
      </c>
      <c r="E541" t="s">
        <v>10</v>
      </c>
      <c r="F541" t="s">
        <v>11</v>
      </c>
    </row>
    <row r="542" spans="1:6" x14ac:dyDescent="0.3">
      <c r="A542" t="s">
        <v>38</v>
      </c>
      <c r="B542" t="s">
        <v>83</v>
      </c>
      <c r="C542">
        <v>48.199037330000003</v>
      </c>
      <c r="D542" t="s">
        <v>84</v>
      </c>
      <c r="E542" t="s">
        <v>10</v>
      </c>
      <c r="F542" t="s">
        <v>11</v>
      </c>
    </row>
    <row r="543" spans="1:6" x14ac:dyDescent="0.3">
      <c r="A543" t="s">
        <v>39</v>
      </c>
      <c r="B543" t="s">
        <v>83</v>
      </c>
      <c r="C543">
        <v>41.412279830000003</v>
      </c>
      <c r="D543" t="s">
        <v>84</v>
      </c>
      <c r="E543" t="s">
        <v>10</v>
      </c>
      <c r="F543" t="s">
        <v>11</v>
      </c>
    </row>
    <row r="544" spans="1:6" x14ac:dyDescent="0.3">
      <c r="A544" t="s">
        <v>40</v>
      </c>
      <c r="B544" t="s">
        <v>83</v>
      </c>
      <c r="C544">
        <v>53.079629240000003</v>
      </c>
      <c r="D544" t="s">
        <v>84</v>
      </c>
      <c r="E544" t="s">
        <v>10</v>
      </c>
      <c r="F544" t="s">
        <v>11</v>
      </c>
    </row>
    <row r="545" spans="1:6" x14ac:dyDescent="0.3">
      <c r="A545" t="s">
        <v>41</v>
      </c>
      <c r="B545" t="s">
        <v>83</v>
      </c>
      <c r="C545">
        <v>41.040351909999998</v>
      </c>
      <c r="D545" t="s">
        <v>84</v>
      </c>
      <c r="E545" t="s">
        <v>10</v>
      </c>
      <c r="F545" t="s">
        <v>11</v>
      </c>
    </row>
  </sheetData>
  <pageMargins left="0.7" right="0.7" top="0.75" bottom="0.75" header="0.3" footer="0.3"/>
  <ignoredErrors>
    <ignoredError sqref="A1:F54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B1277-149B-4584-AC99-B073F0EB8F56}">
  <dimension ref="A1:AM999"/>
  <sheetViews>
    <sheetView workbookViewId="0">
      <selection activeCell="J14" sqref="J14"/>
    </sheetView>
  </sheetViews>
  <sheetFormatPr baseColWidth="10" defaultColWidth="11.296875" defaultRowHeight="12" x14ac:dyDescent="0.25"/>
  <cols>
    <col min="1" max="1" width="20.69921875" style="5" customWidth="1"/>
    <col min="2" max="7" width="17" style="5" customWidth="1"/>
    <col min="8" max="8" width="18.5" style="5" customWidth="1"/>
    <col min="9" max="9" width="17.8984375" style="5" customWidth="1"/>
    <col min="10" max="10" width="14.296875" style="5" customWidth="1"/>
    <col min="11" max="15" width="17" style="5" customWidth="1"/>
    <col min="16" max="16" width="17.5" style="5" customWidth="1"/>
    <col min="17" max="17" width="15.69921875" style="5" customWidth="1"/>
    <col min="18" max="18" width="17.5" style="5" customWidth="1"/>
    <col min="19" max="16384" width="11.296875" style="5"/>
  </cols>
  <sheetData>
    <row r="1" spans="1:39" ht="15.75" customHeight="1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4"/>
    </row>
    <row r="2" spans="1:39" ht="15.75" customHeight="1" x14ac:dyDescent="0.25">
      <c r="A2" s="1" t="s">
        <v>85</v>
      </c>
      <c r="B2" s="6" t="s">
        <v>86</v>
      </c>
      <c r="C2" s="7" t="s">
        <v>87</v>
      </c>
      <c r="D2" s="8"/>
      <c r="E2" s="8"/>
      <c r="F2" s="8"/>
      <c r="G2" s="8"/>
      <c r="H2" s="8"/>
      <c r="I2" s="9" t="s">
        <v>88</v>
      </c>
      <c r="J2" s="8"/>
      <c r="K2" s="8"/>
      <c r="L2" s="8"/>
      <c r="M2" s="8"/>
      <c r="N2" s="8"/>
      <c r="O2" s="10" t="s">
        <v>89</v>
      </c>
      <c r="P2" s="8"/>
      <c r="Q2" s="8"/>
      <c r="R2" s="8"/>
      <c r="S2" s="11" t="s">
        <v>90</v>
      </c>
    </row>
    <row r="3" spans="1:39" ht="36" x14ac:dyDescent="0.25">
      <c r="A3" s="12" t="s">
        <v>91</v>
      </c>
      <c r="B3" s="3" t="s">
        <v>92</v>
      </c>
      <c r="C3" s="3" t="s">
        <v>67</v>
      </c>
      <c r="D3" s="13" t="s">
        <v>55</v>
      </c>
      <c r="E3" s="3" t="s">
        <v>52</v>
      </c>
      <c r="F3" s="13" t="s">
        <v>64</v>
      </c>
      <c r="G3" s="14" t="s">
        <v>60</v>
      </c>
      <c r="H3" s="3" t="s">
        <v>69</v>
      </c>
      <c r="I3" s="3" t="s">
        <v>8</v>
      </c>
      <c r="J3" s="15" t="s">
        <v>62</v>
      </c>
      <c r="K3" s="13" t="s">
        <v>42</v>
      </c>
      <c r="L3" s="3" t="s">
        <v>71</v>
      </c>
      <c r="M3" s="3" t="s">
        <v>74</v>
      </c>
      <c r="N3" s="3" t="s">
        <v>45</v>
      </c>
      <c r="O3" s="3" t="s">
        <v>78</v>
      </c>
      <c r="P3" s="16" t="s">
        <v>49</v>
      </c>
      <c r="Q3" s="3" t="s">
        <v>93</v>
      </c>
      <c r="R3" s="16" t="s">
        <v>81</v>
      </c>
      <c r="S3" s="4"/>
    </row>
    <row r="4" spans="1:39" ht="15.75" customHeight="1" x14ac:dyDescent="0.25">
      <c r="A4" s="1" t="s">
        <v>94</v>
      </c>
      <c r="B4" s="17" t="s">
        <v>86</v>
      </c>
      <c r="C4" s="18" t="s">
        <v>95</v>
      </c>
      <c r="D4" s="18" t="s">
        <v>96</v>
      </c>
      <c r="E4" s="18" t="s">
        <v>97</v>
      </c>
      <c r="F4" s="18" t="s">
        <v>98</v>
      </c>
      <c r="G4" s="18" t="s">
        <v>99</v>
      </c>
      <c r="H4" s="18" t="s">
        <v>100</v>
      </c>
      <c r="I4" s="18" t="s">
        <v>101</v>
      </c>
      <c r="J4" s="17" t="s">
        <v>62</v>
      </c>
      <c r="K4" s="18" t="s">
        <v>102</v>
      </c>
      <c r="L4" s="18" t="s">
        <v>103</v>
      </c>
      <c r="M4" s="18" t="s">
        <v>104</v>
      </c>
      <c r="N4" s="18" t="s">
        <v>105</v>
      </c>
      <c r="O4" s="18" t="s">
        <v>106</v>
      </c>
      <c r="P4" s="18" t="s">
        <v>107</v>
      </c>
      <c r="Q4" s="18" t="s">
        <v>108</v>
      </c>
      <c r="R4" s="18" t="s">
        <v>109</v>
      </c>
      <c r="S4" s="19"/>
    </row>
    <row r="5" spans="1:39" ht="79.8" x14ac:dyDescent="0.25">
      <c r="A5" s="1" t="s">
        <v>110</v>
      </c>
      <c r="B5" s="20" t="s">
        <v>84</v>
      </c>
      <c r="C5" s="20" t="s">
        <v>68</v>
      </c>
      <c r="D5" s="20" t="s">
        <v>56</v>
      </c>
      <c r="E5" s="20" t="s">
        <v>53</v>
      </c>
      <c r="F5" s="20" t="s">
        <v>65</v>
      </c>
      <c r="G5" s="20" t="s">
        <v>61</v>
      </c>
      <c r="H5" s="20" t="s">
        <v>70</v>
      </c>
      <c r="I5" s="20" t="s">
        <v>9</v>
      </c>
      <c r="J5" s="20" t="s">
        <v>63</v>
      </c>
      <c r="K5" s="20" t="s">
        <v>43</v>
      </c>
      <c r="L5" s="20" t="s">
        <v>72</v>
      </c>
      <c r="M5" s="20" t="s">
        <v>75</v>
      </c>
      <c r="N5" s="20" t="s">
        <v>111</v>
      </c>
      <c r="O5" s="20" t="s">
        <v>79</v>
      </c>
      <c r="P5" s="20" t="s">
        <v>50</v>
      </c>
      <c r="Q5" s="20" t="s">
        <v>59</v>
      </c>
      <c r="R5" s="20" t="s">
        <v>82</v>
      </c>
      <c r="S5" s="21"/>
    </row>
    <row r="6" spans="1:39" x14ac:dyDescent="0.25">
      <c r="A6" s="12" t="s">
        <v>112</v>
      </c>
      <c r="B6" s="20" t="s">
        <v>10</v>
      </c>
      <c r="C6" s="20" t="s">
        <v>10</v>
      </c>
      <c r="D6" s="20" t="s">
        <v>10</v>
      </c>
      <c r="E6" s="20" t="s">
        <v>10</v>
      </c>
      <c r="F6" s="20" t="s">
        <v>10</v>
      </c>
      <c r="G6" s="20" t="s">
        <v>47</v>
      </c>
      <c r="H6" s="20" t="s">
        <v>10</v>
      </c>
      <c r="I6" s="20" t="s">
        <v>10</v>
      </c>
      <c r="J6" s="20" t="s">
        <v>10</v>
      </c>
      <c r="K6" s="20" t="s">
        <v>10</v>
      </c>
      <c r="L6" s="20" t="s">
        <v>47</v>
      </c>
      <c r="M6" s="20" t="s">
        <v>76</v>
      </c>
      <c r="N6" s="20" t="s">
        <v>47</v>
      </c>
      <c r="O6" s="20" t="s">
        <v>10</v>
      </c>
      <c r="P6" s="20" t="s">
        <v>113</v>
      </c>
      <c r="Q6" s="20" t="s">
        <v>10</v>
      </c>
      <c r="R6" s="20" t="s">
        <v>10</v>
      </c>
      <c r="S6" s="21"/>
    </row>
    <row r="7" spans="1:39" ht="68.400000000000006" x14ac:dyDescent="0.25">
      <c r="A7" s="12" t="s">
        <v>6</v>
      </c>
      <c r="B7" s="20" t="s">
        <v>114</v>
      </c>
      <c r="C7" s="20" t="s">
        <v>114</v>
      </c>
      <c r="D7" s="20" t="s">
        <v>115</v>
      </c>
      <c r="E7" s="20" t="s">
        <v>116</v>
      </c>
      <c r="F7" s="20" t="s">
        <v>117</v>
      </c>
      <c r="G7" s="20" t="s">
        <v>118</v>
      </c>
      <c r="H7" s="20" t="s">
        <v>114</v>
      </c>
      <c r="I7" s="20" t="s">
        <v>114</v>
      </c>
      <c r="J7" s="20" t="s">
        <v>114</v>
      </c>
      <c r="K7" s="20" t="s">
        <v>119</v>
      </c>
      <c r="L7" s="20" t="s">
        <v>120</v>
      </c>
      <c r="M7" s="20" t="s">
        <v>121</v>
      </c>
      <c r="N7" s="20" t="s">
        <v>118</v>
      </c>
      <c r="O7" s="20" t="s">
        <v>122</v>
      </c>
      <c r="P7" s="20" t="s">
        <v>123</v>
      </c>
      <c r="Q7" s="20" t="s">
        <v>114</v>
      </c>
      <c r="R7" s="20" t="s">
        <v>123</v>
      </c>
      <c r="S7" s="21"/>
    </row>
    <row r="8" spans="1:39" x14ac:dyDescent="0.25">
      <c r="A8" s="12" t="s">
        <v>124</v>
      </c>
      <c r="B8" s="22" t="s">
        <v>125</v>
      </c>
      <c r="C8" s="22" t="s">
        <v>125</v>
      </c>
      <c r="D8" s="23" t="s">
        <v>126</v>
      </c>
      <c r="E8" s="22">
        <v>2024</v>
      </c>
      <c r="F8" s="23" t="s">
        <v>126</v>
      </c>
      <c r="G8" s="22">
        <v>2025</v>
      </c>
      <c r="H8" s="22" t="s">
        <v>125</v>
      </c>
      <c r="I8" s="22" t="s">
        <v>125</v>
      </c>
      <c r="J8" s="22" t="s">
        <v>125</v>
      </c>
      <c r="K8" s="23">
        <v>2024</v>
      </c>
      <c r="L8" s="22">
        <v>2025</v>
      </c>
      <c r="M8" s="22">
        <v>2026</v>
      </c>
      <c r="N8" s="22">
        <v>2025</v>
      </c>
      <c r="O8" s="22" t="s">
        <v>125</v>
      </c>
      <c r="P8" s="24">
        <v>2024</v>
      </c>
      <c r="Q8" s="22" t="s">
        <v>125</v>
      </c>
      <c r="R8" s="24">
        <v>2024</v>
      </c>
      <c r="S8" s="25"/>
    </row>
    <row r="9" spans="1:39" ht="29.25" customHeight="1" x14ac:dyDescent="0.25">
      <c r="A9" s="12" t="s">
        <v>127</v>
      </c>
      <c r="B9" s="20" t="s">
        <v>128</v>
      </c>
      <c r="C9" s="20" t="s">
        <v>128</v>
      </c>
      <c r="D9" s="20" t="s">
        <v>129</v>
      </c>
      <c r="E9" s="20" t="s">
        <v>129</v>
      </c>
      <c r="F9" s="20" t="s">
        <v>129</v>
      </c>
      <c r="G9" s="20" t="s">
        <v>130</v>
      </c>
      <c r="H9" s="26" t="s">
        <v>128</v>
      </c>
      <c r="I9" s="26" t="s">
        <v>128</v>
      </c>
      <c r="J9" s="20" t="s">
        <v>128</v>
      </c>
      <c r="K9" s="20" t="s">
        <v>129</v>
      </c>
      <c r="L9" s="20" t="s">
        <v>129</v>
      </c>
      <c r="M9" s="20" t="s">
        <v>131</v>
      </c>
      <c r="N9" s="20" t="s">
        <v>129</v>
      </c>
      <c r="O9" s="20" t="s">
        <v>128</v>
      </c>
      <c r="P9" s="20" t="s">
        <v>132</v>
      </c>
      <c r="Q9" s="20" t="s">
        <v>128</v>
      </c>
      <c r="R9" s="20" t="s">
        <v>132</v>
      </c>
      <c r="S9" s="21"/>
    </row>
    <row r="10" spans="1:39" ht="15.75" customHeight="1" x14ac:dyDescent="0.25">
      <c r="A10" s="12" t="s">
        <v>133</v>
      </c>
      <c r="B10" s="27" t="s">
        <v>134</v>
      </c>
      <c r="C10" s="27" t="s">
        <v>134</v>
      </c>
      <c r="D10" s="28" t="s">
        <v>135</v>
      </c>
      <c r="E10" s="28" t="s">
        <v>135</v>
      </c>
      <c r="F10" s="28" t="s">
        <v>135</v>
      </c>
      <c r="G10" s="28" t="s">
        <v>135</v>
      </c>
      <c r="H10" s="28" t="s">
        <v>135</v>
      </c>
      <c r="I10" s="28" t="s">
        <v>135</v>
      </c>
      <c r="J10" s="28" t="s">
        <v>135</v>
      </c>
      <c r="K10" s="27" t="s">
        <v>134</v>
      </c>
      <c r="L10" s="27" t="s">
        <v>134</v>
      </c>
      <c r="M10" s="27" t="s">
        <v>134</v>
      </c>
      <c r="N10" s="28" t="s">
        <v>135</v>
      </c>
      <c r="O10" s="28" t="s">
        <v>135</v>
      </c>
      <c r="P10" s="28" t="s">
        <v>135</v>
      </c>
      <c r="Q10" s="27" t="s">
        <v>134</v>
      </c>
      <c r="R10" s="27" t="s">
        <v>134</v>
      </c>
      <c r="S10" s="25"/>
    </row>
    <row r="11" spans="1:39" s="37" customFormat="1" ht="15.75" customHeight="1" x14ac:dyDescent="0.25">
      <c r="A11" s="29" t="s">
        <v>136</v>
      </c>
      <c r="B11" s="30">
        <v>45.719952596946719</v>
      </c>
      <c r="C11" s="31">
        <v>45.12508281659705</v>
      </c>
      <c r="D11" s="32">
        <v>14.6</v>
      </c>
      <c r="E11" s="32">
        <v>58.388483511510827</v>
      </c>
      <c r="F11" s="31">
        <v>25.2</v>
      </c>
      <c r="G11" s="31">
        <v>4.1118438557463008</v>
      </c>
      <c r="H11" s="31">
        <v>20.769935383956689</v>
      </c>
      <c r="I11" s="31">
        <v>11.374183469183199</v>
      </c>
      <c r="J11" s="31">
        <v>54.811700000000002</v>
      </c>
      <c r="K11" s="33">
        <v>37.689731385531076</v>
      </c>
      <c r="L11" s="31">
        <v>11.326239374812102</v>
      </c>
      <c r="M11" s="34">
        <v>5</v>
      </c>
      <c r="N11" s="31">
        <v>21.278535054995583</v>
      </c>
      <c r="O11" s="31">
        <v>36.199999999999996</v>
      </c>
      <c r="P11" s="33">
        <v>26.086509259213297</v>
      </c>
      <c r="Q11" s="33">
        <v>15.918031426754034</v>
      </c>
      <c r="R11" s="33">
        <v>16.012576310927614</v>
      </c>
      <c r="S11" s="35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</row>
    <row r="12" spans="1:39" ht="15.75" customHeight="1" x14ac:dyDescent="0.25">
      <c r="A12" s="38" t="s">
        <v>137</v>
      </c>
      <c r="B12" s="39">
        <v>46.818313338402618</v>
      </c>
      <c r="C12" s="39">
        <v>44.682305093192575</v>
      </c>
      <c r="D12" s="39">
        <v>14.315625000000001</v>
      </c>
      <c r="E12" s="39">
        <v>57.688561013215285</v>
      </c>
      <c r="F12" s="39">
        <v>23.949999999999996</v>
      </c>
      <c r="G12" s="39">
        <v>4.6725711189839529</v>
      </c>
      <c r="H12" s="39">
        <v>20.616733927129676</v>
      </c>
      <c r="I12" s="39">
        <v>13.922653752770977</v>
      </c>
      <c r="J12" s="39">
        <v>54.663496875000014</v>
      </c>
      <c r="K12" s="39">
        <v>39.055067384353713</v>
      </c>
      <c r="L12" s="39">
        <v>12.619699899792725</v>
      </c>
      <c r="M12" s="39">
        <v>23.03125</v>
      </c>
      <c r="N12" s="39">
        <v>20.741428264107309</v>
      </c>
      <c r="O12" s="39">
        <v>34.549999999999997</v>
      </c>
      <c r="P12" s="39">
        <v>25.619980919365645</v>
      </c>
      <c r="Q12" s="39">
        <v>17.903245701782502</v>
      </c>
      <c r="R12" s="39">
        <v>17.035951595037201</v>
      </c>
      <c r="S12" s="25">
        <v>30</v>
      </c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</row>
    <row r="13" spans="1:39" ht="15.75" customHeight="1" x14ac:dyDescent="0.25">
      <c r="A13" s="41" t="s">
        <v>7</v>
      </c>
      <c r="B13" s="42">
        <v>44.374303511269432</v>
      </c>
      <c r="C13" s="42">
        <v>47.459683994610231</v>
      </c>
      <c r="D13" s="43">
        <v>14</v>
      </c>
      <c r="E13" s="44">
        <v>57.39826697378524</v>
      </c>
      <c r="F13" s="44">
        <v>24.6</v>
      </c>
      <c r="G13" s="45">
        <v>0.88634185192266546</v>
      </c>
      <c r="H13" s="46">
        <v>14.766362461321531</v>
      </c>
      <c r="I13" s="47">
        <v>10.592206177325295</v>
      </c>
      <c r="J13" s="48">
        <v>41.784799999999997</v>
      </c>
      <c r="K13" s="42">
        <v>40.097818798564269</v>
      </c>
      <c r="L13" s="48">
        <v>21.446893203050607</v>
      </c>
      <c r="M13" s="49">
        <v>10</v>
      </c>
      <c r="N13" s="48">
        <v>18.613178890375973</v>
      </c>
      <c r="O13" s="47">
        <v>33.700000000000003</v>
      </c>
      <c r="P13" s="48">
        <v>22.440226757265826</v>
      </c>
      <c r="Q13" s="48">
        <v>24.627772713460956</v>
      </c>
      <c r="R13" s="46">
        <v>18.171666278552827</v>
      </c>
      <c r="S13" s="50" t="s">
        <v>7</v>
      </c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</row>
    <row r="14" spans="1:39" ht="15.75" customHeight="1" x14ac:dyDescent="0.25">
      <c r="A14" s="41" t="s">
        <v>12</v>
      </c>
      <c r="B14" s="42">
        <v>46.731800826321098</v>
      </c>
      <c r="C14" s="42">
        <v>48.046475248242579</v>
      </c>
      <c r="D14" s="43">
        <v>11.2</v>
      </c>
      <c r="E14" s="44">
        <v>48.100430506237636</v>
      </c>
      <c r="F14" s="44">
        <v>28</v>
      </c>
      <c r="G14" s="45">
        <v>10.968369288762734</v>
      </c>
      <c r="H14" s="46">
        <v>13.57419832749207</v>
      </c>
      <c r="I14" s="47">
        <v>11.059406568247711</v>
      </c>
      <c r="J14" s="48">
        <v>36.869199999999999</v>
      </c>
      <c r="K14" s="42">
        <v>33.946358079810466</v>
      </c>
      <c r="L14" s="48">
        <v>17.644579356495658</v>
      </c>
      <c r="M14" s="49">
        <v>5</v>
      </c>
      <c r="N14" s="48">
        <v>80.565869484275154</v>
      </c>
      <c r="O14" s="47">
        <v>20.8</v>
      </c>
      <c r="P14" s="48">
        <v>18.153912923398629</v>
      </c>
      <c r="Q14" s="48">
        <v>22.254182067464328</v>
      </c>
      <c r="R14" s="46">
        <v>16.956316672909125</v>
      </c>
      <c r="S14" s="50" t="s">
        <v>12</v>
      </c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</row>
    <row r="15" spans="1:39" ht="15.75" customHeight="1" x14ac:dyDescent="0.25">
      <c r="A15" s="41" t="s">
        <v>13</v>
      </c>
      <c r="B15" s="42">
        <v>55.838902467511012</v>
      </c>
      <c r="C15" s="42">
        <v>53.831557392125362</v>
      </c>
      <c r="D15" s="43">
        <v>12.1</v>
      </c>
      <c r="E15" s="44">
        <v>52.344110854503469</v>
      </c>
      <c r="F15" s="44">
        <v>19.899999999999999</v>
      </c>
      <c r="G15" s="45">
        <v>3.8388929535990752</v>
      </c>
      <c r="H15" s="46">
        <v>15.364817974426318</v>
      </c>
      <c r="I15" s="47">
        <v>16.807657405365056</v>
      </c>
      <c r="J15" s="48">
        <v>39.127000000000002</v>
      </c>
      <c r="K15" s="42">
        <v>37.128527584400025</v>
      </c>
      <c r="L15" s="48">
        <v>6.465377901338333</v>
      </c>
      <c r="M15" s="49">
        <v>84</v>
      </c>
      <c r="N15" s="48">
        <v>41.324553559331221</v>
      </c>
      <c r="O15" s="47">
        <v>14.399999999999999</v>
      </c>
      <c r="P15" s="48">
        <v>17.134063327728999</v>
      </c>
      <c r="Q15" s="48">
        <v>27.897956527398154</v>
      </c>
      <c r="R15" s="46">
        <v>19.103132138531588</v>
      </c>
      <c r="S15" s="50" t="s">
        <v>13</v>
      </c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</row>
    <row r="16" spans="1:39" ht="15.75" customHeight="1" x14ac:dyDescent="0.25">
      <c r="A16" s="41" t="s">
        <v>14</v>
      </c>
      <c r="B16" s="42">
        <v>44.878432194508491</v>
      </c>
      <c r="C16" s="42">
        <v>44.212023830610356</v>
      </c>
      <c r="D16" s="43">
        <v>14.4</v>
      </c>
      <c r="E16" s="44">
        <v>58.265717121008699</v>
      </c>
      <c r="F16" s="44">
        <v>19.2</v>
      </c>
      <c r="G16" s="45">
        <v>2.6626194850493916</v>
      </c>
      <c r="H16" s="46">
        <v>27.20061566938956</v>
      </c>
      <c r="I16" s="47">
        <v>9.4676232421337243</v>
      </c>
      <c r="J16" s="48">
        <v>59.418500000000002</v>
      </c>
      <c r="K16" s="42">
        <v>42.467802631886499</v>
      </c>
      <c r="L16" s="48">
        <v>13.961694188127483</v>
      </c>
      <c r="M16" s="49">
        <v>15</v>
      </c>
      <c r="N16" s="48">
        <v>5.3252389700987832</v>
      </c>
      <c r="O16" s="47">
        <v>37</v>
      </c>
      <c r="P16" s="48">
        <v>22.108955346536874</v>
      </c>
      <c r="Q16" s="48">
        <v>14.478185580943531</v>
      </c>
      <c r="R16" s="46">
        <v>23.330077819128185</v>
      </c>
      <c r="S16" s="50" t="s">
        <v>14</v>
      </c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</row>
    <row r="17" spans="1:39" ht="15.75" customHeight="1" x14ac:dyDescent="0.25">
      <c r="A17" s="41" t="s">
        <v>18</v>
      </c>
      <c r="B17" s="42">
        <v>45.675182164660633</v>
      </c>
      <c r="C17" s="42">
        <v>46.323161004158891</v>
      </c>
      <c r="D17" s="43">
        <v>15.7</v>
      </c>
      <c r="E17" s="44">
        <v>60.427168623794401</v>
      </c>
      <c r="F17" s="44">
        <v>20.399999999999999</v>
      </c>
      <c r="G17" s="45">
        <v>0.70489384298724611</v>
      </c>
      <c r="H17" s="46">
        <v>14.234483412153859</v>
      </c>
      <c r="I17" s="47">
        <v>11.643708701914562</v>
      </c>
      <c r="J17" s="48">
        <v>36.782299999999999</v>
      </c>
      <c r="K17" s="42">
        <v>44.574509142515048</v>
      </c>
      <c r="L17" s="48">
        <v>12.122119659582358</v>
      </c>
      <c r="M17" s="49">
        <v>10</v>
      </c>
      <c r="N17" s="48">
        <v>33.77616330980554</v>
      </c>
      <c r="O17" s="47">
        <v>25.8</v>
      </c>
      <c r="P17" s="48">
        <v>19.263250321936287</v>
      </c>
      <c r="Q17" s="48">
        <v>17.473440535736433</v>
      </c>
      <c r="R17" s="46">
        <v>17.634275564852622</v>
      </c>
      <c r="S17" s="50" t="s">
        <v>138</v>
      </c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</row>
    <row r="18" spans="1:39" ht="15.75" customHeight="1" x14ac:dyDescent="0.25">
      <c r="A18" s="41" t="s">
        <v>19</v>
      </c>
      <c r="B18" s="42">
        <v>56.564426972121886</v>
      </c>
      <c r="C18" s="42">
        <v>49.808072255151004</v>
      </c>
      <c r="D18" s="43">
        <v>12.9</v>
      </c>
      <c r="E18" s="44">
        <v>55.008737809346641</v>
      </c>
      <c r="F18" s="44">
        <v>37.9</v>
      </c>
      <c r="G18" s="45">
        <v>25.306322707260072</v>
      </c>
      <c r="H18" s="46">
        <v>12.896750308515015</v>
      </c>
      <c r="I18" s="47">
        <v>17.959702923026356</v>
      </c>
      <c r="J18" s="48">
        <v>49.939300000000003</v>
      </c>
      <c r="K18" s="42">
        <v>47.907459488415697</v>
      </c>
      <c r="L18" s="48">
        <v>31.672588063565506</v>
      </c>
      <c r="M18" s="49">
        <v>20</v>
      </c>
      <c r="N18" s="48">
        <v>37.701256278162965</v>
      </c>
      <c r="O18" s="47">
        <v>20.200000000000003</v>
      </c>
      <c r="P18" s="48">
        <v>21.643646697452823</v>
      </c>
      <c r="Q18" s="48">
        <v>29.223555778361003</v>
      </c>
      <c r="R18" s="46">
        <v>20.76751660746535</v>
      </c>
      <c r="S18" s="50" t="s">
        <v>19</v>
      </c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</row>
    <row r="19" spans="1:39" ht="15.75" customHeight="1" x14ac:dyDescent="0.25">
      <c r="A19" s="41" t="s">
        <v>15</v>
      </c>
      <c r="B19" s="42">
        <v>32.469794350653949</v>
      </c>
      <c r="C19" s="42">
        <v>29.115125824185757</v>
      </c>
      <c r="D19" s="43">
        <v>18.3</v>
      </c>
      <c r="E19" s="44">
        <v>67.174293763801117</v>
      </c>
      <c r="F19" s="44">
        <v>21.5</v>
      </c>
      <c r="G19" s="45">
        <v>1.9192102066157737</v>
      </c>
      <c r="H19" s="46">
        <v>28.804339742513712</v>
      </c>
      <c r="I19" s="47">
        <v>0.11962593363242252</v>
      </c>
      <c r="J19" s="48">
        <v>71.384100000000004</v>
      </c>
      <c r="K19" s="42">
        <v>36.820917233025057</v>
      </c>
      <c r="L19" s="48">
        <v>3.9579298443741986</v>
      </c>
      <c r="M19" s="49">
        <v>30</v>
      </c>
      <c r="N19" s="48">
        <v>2.5269601053774351</v>
      </c>
      <c r="O19" s="47">
        <v>62.9</v>
      </c>
      <c r="P19" s="48">
        <v>27.776092850437539</v>
      </c>
      <c r="Q19" s="48">
        <v>13.969202162510385</v>
      </c>
      <c r="R19" s="46">
        <v>12.396624662510288</v>
      </c>
      <c r="S19" s="50" t="s">
        <v>15</v>
      </c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</row>
    <row r="20" spans="1:39" ht="15.75" customHeight="1" x14ac:dyDescent="0.25">
      <c r="A20" s="41" t="s">
        <v>16</v>
      </c>
      <c r="B20" s="42">
        <v>46.949908000859608</v>
      </c>
      <c r="C20" s="42">
        <v>47.713388054763861</v>
      </c>
      <c r="D20" s="43">
        <v>17.7</v>
      </c>
      <c r="E20" s="44">
        <v>56.012721129000198</v>
      </c>
      <c r="F20" s="44">
        <v>32.6</v>
      </c>
      <c r="G20" s="45">
        <v>8.5047720671639642</v>
      </c>
      <c r="H20" s="46">
        <v>17.962268433015645</v>
      </c>
      <c r="I20" s="47">
        <v>11.037359550745771</v>
      </c>
      <c r="J20" s="48">
        <v>31.085100000000001</v>
      </c>
      <c r="K20" s="42">
        <v>38.376757810822184</v>
      </c>
      <c r="L20" s="48">
        <v>26.214558800139024</v>
      </c>
      <c r="M20" s="49">
        <v>5</v>
      </c>
      <c r="N20" s="48">
        <v>26.058226042996566</v>
      </c>
      <c r="O20" s="47">
        <v>24.5</v>
      </c>
      <c r="P20" s="48">
        <v>19.343119365995808</v>
      </c>
      <c r="Q20" s="48">
        <v>28.879425318015841</v>
      </c>
      <c r="R20" s="46">
        <v>19.547276602106127</v>
      </c>
      <c r="S20" s="50" t="s">
        <v>16</v>
      </c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</row>
    <row r="21" spans="1:39" ht="15.75" customHeight="1" x14ac:dyDescent="0.25">
      <c r="A21" s="41" t="s">
        <v>17</v>
      </c>
      <c r="B21" s="42">
        <v>54.699543599689918</v>
      </c>
      <c r="C21" s="42">
        <v>63.38429644985748</v>
      </c>
      <c r="D21" s="43">
        <v>10.199999999999999</v>
      </c>
      <c r="E21" s="44">
        <v>46.269687304770983</v>
      </c>
      <c r="F21" s="44">
        <v>25.2</v>
      </c>
      <c r="G21" s="45">
        <v>2.4499472633146784</v>
      </c>
      <c r="H21" s="46">
        <v>22.180020187224194</v>
      </c>
      <c r="I21" s="47">
        <v>4.6352318044965903</v>
      </c>
      <c r="J21" s="48">
        <v>47.038699999999999</v>
      </c>
      <c r="K21" s="42">
        <v>43.796329918536372</v>
      </c>
      <c r="L21" s="48">
        <v>9.4862127905479028</v>
      </c>
      <c r="M21" s="49">
        <v>42</v>
      </c>
      <c r="N21" s="48">
        <v>31.912133583688629</v>
      </c>
      <c r="O21" s="47">
        <v>25.4</v>
      </c>
      <c r="P21" s="48">
        <v>20.974188835308972</v>
      </c>
      <c r="Q21" s="48">
        <v>20.290387219862502</v>
      </c>
      <c r="R21" s="46">
        <v>17.316256165231454</v>
      </c>
      <c r="S21" s="50" t="s">
        <v>17</v>
      </c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</row>
    <row r="22" spans="1:39" ht="15.75" customHeight="1" x14ac:dyDescent="0.25">
      <c r="A22" s="41" t="s">
        <v>20</v>
      </c>
      <c r="B22" s="42">
        <v>46.495426229847467</v>
      </c>
      <c r="C22" s="42">
        <v>45.097585263328192</v>
      </c>
      <c r="D22" s="43">
        <v>15.8</v>
      </c>
      <c r="E22" s="44">
        <v>57.383117997499333</v>
      </c>
      <c r="F22" s="44">
        <v>22.1</v>
      </c>
      <c r="G22" s="45">
        <v>0.72021573547916462</v>
      </c>
      <c r="H22" s="46">
        <v>20.397651602860808</v>
      </c>
      <c r="I22" s="47">
        <v>13.918399092577463</v>
      </c>
      <c r="J22" s="48">
        <v>51.979500000000002</v>
      </c>
      <c r="K22" s="42">
        <v>39.229684139388446</v>
      </c>
      <c r="L22" s="48">
        <v>12.816991668955415</v>
      </c>
      <c r="M22" s="49">
        <v>5</v>
      </c>
      <c r="N22" s="48">
        <v>10.803236032187471</v>
      </c>
      <c r="O22" s="47">
        <v>34.9</v>
      </c>
      <c r="P22" s="48">
        <v>26.332365354227615</v>
      </c>
      <c r="Q22" s="48">
        <v>14.070141807368083</v>
      </c>
      <c r="R22" s="46">
        <v>17.005713956735129</v>
      </c>
      <c r="S22" s="50" t="s">
        <v>20</v>
      </c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</row>
    <row r="23" spans="1:39" ht="15.75" customHeight="1" x14ac:dyDescent="0.25">
      <c r="A23" s="41" t="s">
        <v>21</v>
      </c>
      <c r="B23" s="42">
        <v>46.171018678714162</v>
      </c>
      <c r="C23" s="42">
        <v>37.407342197758688</v>
      </c>
      <c r="D23" s="43">
        <v>14.6</v>
      </c>
      <c r="E23" s="44">
        <v>63.241039094356843</v>
      </c>
      <c r="F23" s="44">
        <v>27.8</v>
      </c>
      <c r="G23" s="45">
        <v>10.262423556099316</v>
      </c>
      <c r="H23" s="46">
        <v>30.757068717985998</v>
      </c>
      <c r="I23" s="47">
        <v>10.336335689849081</v>
      </c>
      <c r="J23" s="48">
        <v>52.861800000000002</v>
      </c>
      <c r="K23" s="42">
        <v>37.99246868984347</v>
      </c>
      <c r="L23" s="48">
        <v>11.807380968050389</v>
      </c>
      <c r="M23" s="49">
        <v>5</v>
      </c>
      <c r="N23" s="48">
        <v>15.408508411766508</v>
      </c>
      <c r="O23" s="47">
        <v>35.9</v>
      </c>
      <c r="P23" s="48">
        <v>30.180147035299989</v>
      </c>
      <c r="Q23" s="48">
        <v>17.828628430435327</v>
      </c>
      <c r="R23" s="46">
        <v>15.660868018630266</v>
      </c>
      <c r="S23" s="50" t="s">
        <v>21</v>
      </c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</row>
    <row r="24" spans="1:39" ht="15.75" customHeight="1" x14ac:dyDescent="0.25">
      <c r="A24" s="41" t="s">
        <v>22</v>
      </c>
      <c r="B24" s="42">
        <v>46.84404815489976</v>
      </c>
      <c r="C24" s="42">
        <v>36.484708362624495</v>
      </c>
      <c r="D24" s="43">
        <v>17.100000000000001</v>
      </c>
      <c r="E24" s="44">
        <v>60.247582400891098</v>
      </c>
      <c r="F24" s="44">
        <v>17.5</v>
      </c>
      <c r="G24" s="45">
        <v>7.1616545773661793</v>
      </c>
      <c r="H24" s="46">
        <v>17.891231389216436</v>
      </c>
      <c r="I24" s="47">
        <v>23.561238278172631</v>
      </c>
      <c r="J24" s="48">
        <v>74.580399999999997</v>
      </c>
      <c r="K24" s="42">
        <v>41.445124434999833</v>
      </c>
      <c r="L24" s="48">
        <v>4.601255222424677</v>
      </c>
      <c r="M24" s="49">
        <v>30</v>
      </c>
      <c r="N24" s="48">
        <v>9.9942492982647426</v>
      </c>
      <c r="O24" s="47">
        <v>53.7</v>
      </c>
      <c r="P24" s="48">
        <v>34.896883979108125</v>
      </c>
      <c r="Q24" s="48">
        <v>5.8546730585467301</v>
      </c>
      <c r="R24" s="46">
        <v>18.696321090314154</v>
      </c>
      <c r="S24" s="50" t="s">
        <v>22</v>
      </c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</row>
    <row r="25" spans="1:39" ht="15.75" customHeight="1" x14ac:dyDescent="0.25">
      <c r="A25" s="41" t="s">
        <v>23</v>
      </c>
      <c r="B25" s="42">
        <v>48.027693566817561</v>
      </c>
      <c r="C25" s="42">
        <v>38.163825577179516</v>
      </c>
      <c r="D25" s="43">
        <v>14.1</v>
      </c>
      <c r="E25" s="44">
        <v>54.269149235052225</v>
      </c>
      <c r="F25" s="44">
        <v>22.1</v>
      </c>
      <c r="G25" s="45">
        <v>2.269382710445969</v>
      </c>
      <c r="H25" s="46">
        <v>22.999588668133534</v>
      </c>
      <c r="I25" s="47">
        <v>17.472398989998172</v>
      </c>
      <c r="J25" s="48">
        <v>73.478899999999996</v>
      </c>
      <c r="K25" s="42">
        <v>37.296998935487686</v>
      </c>
      <c r="L25" s="48">
        <v>4.0446938672329233</v>
      </c>
      <c r="M25" s="49">
        <v>56</v>
      </c>
      <c r="N25" s="48">
        <v>15.187407369907636</v>
      </c>
      <c r="O25" s="47">
        <v>40.799999999999997</v>
      </c>
      <c r="P25" s="48">
        <v>29.994471425077528</v>
      </c>
      <c r="Q25" s="48">
        <v>7.8827635553273652</v>
      </c>
      <c r="R25" s="46">
        <v>13.559274621544718</v>
      </c>
      <c r="S25" s="50" t="s">
        <v>23</v>
      </c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</row>
    <row r="26" spans="1:39" ht="15.75" customHeight="1" x14ac:dyDescent="0.25">
      <c r="A26" s="41" t="s">
        <v>24</v>
      </c>
      <c r="B26" s="42">
        <v>42.416721265071324</v>
      </c>
      <c r="C26" s="42">
        <v>46.677303413964907</v>
      </c>
      <c r="D26" s="43">
        <v>13.7</v>
      </c>
      <c r="E26" s="44">
        <v>59.496066717927491</v>
      </c>
      <c r="F26" s="44">
        <v>24.7</v>
      </c>
      <c r="G26" s="45">
        <v>3.52820410860478</v>
      </c>
      <c r="H26" s="46">
        <v>11.23167374489951</v>
      </c>
      <c r="I26" s="47">
        <v>15.135770793352521</v>
      </c>
      <c r="J26" s="48">
        <v>48.322499999999998</v>
      </c>
      <c r="K26" s="42">
        <v>36.33592758367292</v>
      </c>
      <c r="L26" s="48">
        <v>19.435202778211092</v>
      </c>
      <c r="M26" s="49">
        <v>15</v>
      </c>
      <c r="N26" s="48">
        <v>7.5445874020479557</v>
      </c>
      <c r="O26" s="47">
        <v>25.7</v>
      </c>
      <c r="P26" s="48">
        <v>18.897414162072923</v>
      </c>
      <c r="Q26" s="48">
        <v>22.886041348431345</v>
      </c>
      <c r="R26" s="46">
        <v>18.305634697879604</v>
      </c>
      <c r="S26" s="50" t="s">
        <v>24</v>
      </c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</row>
    <row r="27" spans="1:39" ht="15.75" customHeight="1" x14ac:dyDescent="0.25">
      <c r="A27" s="41" t="s">
        <v>0</v>
      </c>
      <c r="B27" s="42">
        <v>44.251039680306</v>
      </c>
      <c r="C27" s="42">
        <v>48.866328771915512</v>
      </c>
      <c r="D27" s="43">
        <v>14.9</v>
      </c>
      <c r="E27" s="44">
        <v>60.926211420452823</v>
      </c>
      <c r="F27" s="44">
        <v>36.6</v>
      </c>
      <c r="G27" s="45">
        <v>2.4997037083652693</v>
      </c>
      <c r="H27" s="46">
        <v>17.807211879624493</v>
      </c>
      <c r="I27" s="47">
        <v>11.571407550864711</v>
      </c>
      <c r="J27" s="48">
        <v>58.127099999999999</v>
      </c>
      <c r="K27" s="42">
        <v>32.064142002402676</v>
      </c>
      <c r="L27" s="48">
        <v>6.3021878756747736</v>
      </c>
      <c r="M27" s="49">
        <v>45</v>
      </c>
      <c r="N27" s="48">
        <v>32.397475693944614</v>
      </c>
      <c r="O27" s="47">
        <v>35.099999999999994</v>
      </c>
      <c r="P27" s="48">
        <v>26.983964841891439</v>
      </c>
      <c r="Q27" s="48">
        <v>14.242585994149209</v>
      </c>
      <c r="R27" s="46">
        <v>11.714751975529365</v>
      </c>
      <c r="S27" s="50" t="s">
        <v>0</v>
      </c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</row>
    <row r="28" spans="1:39" ht="15.75" customHeight="1" x14ac:dyDescent="0.25">
      <c r="A28" s="41" t="s">
        <v>25</v>
      </c>
      <c r="B28" s="42">
        <v>45.226932490377749</v>
      </c>
      <c r="C28" s="42">
        <v>37.028902417526467</v>
      </c>
      <c r="D28" s="43">
        <v>15.3</v>
      </c>
      <c r="E28" s="44">
        <v>61.575621474827656</v>
      </c>
      <c r="F28" s="44">
        <v>18.5</v>
      </c>
      <c r="G28" s="45">
        <v>6.3890192506958225</v>
      </c>
      <c r="H28" s="46">
        <v>25.045585066527671</v>
      </c>
      <c r="I28" s="47">
        <v>15.085178509659405</v>
      </c>
      <c r="J28" s="48">
        <v>66.137</v>
      </c>
      <c r="K28" s="42">
        <v>36.936083893417923</v>
      </c>
      <c r="L28" s="48">
        <v>11.769330014234228</v>
      </c>
      <c r="M28" s="49">
        <v>20</v>
      </c>
      <c r="N28" s="48">
        <v>11.384070664876193</v>
      </c>
      <c r="O28" s="47">
        <v>37.5</v>
      </c>
      <c r="P28" s="48">
        <v>27.730043943349891</v>
      </c>
      <c r="Q28" s="48">
        <v>14.172606812435639</v>
      </c>
      <c r="R28" s="46">
        <v>14.564960534835341</v>
      </c>
      <c r="S28" s="50" t="s">
        <v>139</v>
      </c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</row>
    <row r="29" spans="1:39" ht="15.75" customHeight="1" x14ac:dyDescent="0.25">
      <c r="A29" s="41" t="s">
        <v>26</v>
      </c>
      <c r="B29" s="42">
        <v>43.778406415358909</v>
      </c>
      <c r="C29" s="42">
        <v>45.369797611061259</v>
      </c>
      <c r="D29" s="43">
        <v>14.3</v>
      </c>
      <c r="E29" s="44">
        <v>58.058661670862364</v>
      </c>
      <c r="F29" s="44">
        <v>24</v>
      </c>
      <c r="G29" s="45">
        <v>11.202983947724428</v>
      </c>
      <c r="H29" s="46">
        <v>15.790643534820603</v>
      </c>
      <c r="I29" s="47">
        <v>21.562938280408584</v>
      </c>
      <c r="J29" s="48">
        <v>63.563000000000002</v>
      </c>
      <c r="K29" s="42">
        <v>37.386690885262489</v>
      </c>
      <c r="L29" s="48">
        <v>20.413879539121062</v>
      </c>
      <c r="M29" s="49">
        <v>15</v>
      </c>
      <c r="N29" s="48">
        <v>11.673697558973355</v>
      </c>
      <c r="O29" s="47">
        <v>44.7</v>
      </c>
      <c r="P29" s="48">
        <v>24.602017877337111</v>
      </c>
      <c r="Q29" s="48">
        <v>21.246820638017507</v>
      </c>
      <c r="R29" s="46">
        <v>14.00012236341184</v>
      </c>
      <c r="S29" s="50" t="s">
        <v>26</v>
      </c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</row>
    <row r="30" spans="1:39" ht="15.75" customHeight="1" x14ac:dyDescent="0.25">
      <c r="A30" s="41" t="s">
        <v>27</v>
      </c>
      <c r="B30" s="42">
        <v>54.044996843968597</v>
      </c>
      <c r="C30" s="42">
        <v>48.636867966397212</v>
      </c>
      <c r="D30" s="43">
        <v>16.2</v>
      </c>
      <c r="E30" s="44">
        <v>63.252286293193151</v>
      </c>
      <c r="F30" s="44">
        <v>13.8</v>
      </c>
      <c r="G30" s="45">
        <v>2.9942091994083442</v>
      </c>
      <c r="H30" s="46">
        <v>21.657201942741956</v>
      </c>
      <c r="I30" s="47">
        <v>14.533135648498337</v>
      </c>
      <c r="J30" s="48">
        <v>55.472299999999997</v>
      </c>
      <c r="K30" s="42">
        <v>41.074877854789229</v>
      </c>
      <c r="L30" s="48">
        <v>18.665498044180424</v>
      </c>
      <c r="M30" s="49">
        <v>15</v>
      </c>
      <c r="N30" s="48">
        <v>9.8808903580475356</v>
      </c>
      <c r="O30" s="47">
        <v>25.5</v>
      </c>
      <c r="P30" s="48">
        <v>24.584092966081695</v>
      </c>
      <c r="Q30" s="48">
        <v>20.459373932163604</v>
      </c>
      <c r="R30" s="46">
        <v>18.400888129952008</v>
      </c>
      <c r="S30" s="50" t="s">
        <v>27</v>
      </c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</row>
    <row r="31" spans="1:39" ht="15.75" customHeight="1" x14ac:dyDescent="0.25">
      <c r="A31" s="41" t="s">
        <v>28</v>
      </c>
      <c r="B31" s="42">
        <v>47.794348347815117</v>
      </c>
      <c r="C31" s="42">
        <v>45.155118780402574</v>
      </c>
      <c r="D31" s="43">
        <v>11.1</v>
      </c>
      <c r="E31" s="44">
        <v>56.623353972268255</v>
      </c>
      <c r="F31" s="44">
        <v>32</v>
      </c>
      <c r="G31" s="45">
        <v>3.1013628766863657</v>
      </c>
      <c r="H31" s="46">
        <v>12.054588792027518</v>
      </c>
      <c r="I31" s="47">
        <v>19.330952205050501</v>
      </c>
      <c r="J31" s="48">
        <v>37.886600000000001</v>
      </c>
      <c r="K31" s="42">
        <v>36.047092248137389</v>
      </c>
      <c r="L31" s="48">
        <v>20.225084397197975</v>
      </c>
      <c r="M31" s="49">
        <v>60</v>
      </c>
      <c r="N31" s="48">
        <v>28.131554174387439</v>
      </c>
      <c r="O31" s="47">
        <v>20.8</v>
      </c>
      <c r="P31" s="48">
        <v>18.858728155094461</v>
      </c>
      <c r="Q31" s="48">
        <v>20.439371719666564</v>
      </c>
      <c r="R31" s="46">
        <v>18.419045734356441</v>
      </c>
      <c r="S31" s="50" t="s">
        <v>28</v>
      </c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</row>
    <row r="32" spans="1:39" ht="15.75" customHeight="1" x14ac:dyDescent="0.25">
      <c r="A32" s="41" t="s">
        <v>29</v>
      </c>
      <c r="B32" s="42">
        <v>45.425954030975149</v>
      </c>
      <c r="C32" s="42">
        <v>30.560095750870236</v>
      </c>
      <c r="D32" s="43">
        <v>16.600000000000001</v>
      </c>
      <c r="E32" s="44">
        <v>60.22953100158982</v>
      </c>
      <c r="F32" s="44">
        <v>15.1</v>
      </c>
      <c r="G32" s="45">
        <v>3.8461096379970874</v>
      </c>
      <c r="H32" s="46">
        <v>35.287583037536919</v>
      </c>
      <c r="I32" s="47">
        <v>19.048901620883289</v>
      </c>
      <c r="J32" s="48">
        <v>76.8583</v>
      </c>
      <c r="K32" s="42">
        <v>42.201137018163273</v>
      </c>
      <c r="L32" s="48">
        <v>6.1405297066546156</v>
      </c>
      <c r="M32" s="49">
        <v>5</v>
      </c>
      <c r="N32" s="48">
        <v>11.759369697784198</v>
      </c>
      <c r="O32" s="47">
        <v>59.3</v>
      </c>
      <c r="P32" s="48">
        <v>33.203477962508899</v>
      </c>
      <c r="Q32" s="48">
        <v>4.1260556810370224</v>
      </c>
      <c r="R32" s="46">
        <v>11.786464860166431</v>
      </c>
      <c r="S32" s="50" t="s">
        <v>29</v>
      </c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</row>
    <row r="33" spans="1:39" ht="15.75" customHeight="1" x14ac:dyDescent="0.25">
      <c r="A33" s="41" t="s">
        <v>30</v>
      </c>
      <c r="B33" s="42">
        <v>48.220776576415872</v>
      </c>
      <c r="C33" s="42">
        <v>43.2888903686815</v>
      </c>
      <c r="D33" s="43">
        <v>16.3</v>
      </c>
      <c r="E33" s="44">
        <v>60.41689109124205</v>
      </c>
      <c r="F33" s="44">
        <v>20.9</v>
      </c>
      <c r="G33" s="45">
        <v>2.8393462405281182</v>
      </c>
      <c r="H33" s="46">
        <v>19.086947887340397</v>
      </c>
      <c r="I33" s="47">
        <v>12.908157183904523</v>
      </c>
      <c r="J33" s="48">
        <v>69.671800000000005</v>
      </c>
      <c r="K33" s="42">
        <v>36.012698495989085</v>
      </c>
      <c r="L33" s="48">
        <v>9.5298202460132089</v>
      </c>
      <c r="M33" s="49">
        <v>10</v>
      </c>
      <c r="N33" s="48">
        <v>14.851964950454773</v>
      </c>
      <c r="O33" s="47">
        <v>41.6</v>
      </c>
      <c r="P33" s="48">
        <v>27.381731059156966</v>
      </c>
      <c r="Q33" s="48">
        <v>17.116637551638565</v>
      </c>
      <c r="R33" s="46">
        <v>13.259249692125117</v>
      </c>
      <c r="S33" s="50" t="s">
        <v>30</v>
      </c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</row>
    <row r="34" spans="1:39" ht="15.75" customHeight="1" x14ac:dyDescent="0.25">
      <c r="A34" s="41" t="s">
        <v>31</v>
      </c>
      <c r="B34" s="42">
        <v>49.552251782298725</v>
      </c>
      <c r="C34" s="42">
        <v>49.504596747037951</v>
      </c>
      <c r="D34" s="43">
        <v>11.7</v>
      </c>
      <c r="E34" s="44">
        <v>55.49694313693665</v>
      </c>
      <c r="F34" s="44">
        <v>23</v>
      </c>
      <c r="G34" s="45">
        <v>1.7738372312174657</v>
      </c>
      <c r="H34" s="46">
        <v>12.083372979732761</v>
      </c>
      <c r="I34" s="47">
        <v>19.713497840219993</v>
      </c>
      <c r="J34" s="48">
        <v>43.6248</v>
      </c>
      <c r="K34" s="42">
        <v>37.126364425573236</v>
      </c>
      <c r="L34" s="48">
        <v>8.6983662421522823</v>
      </c>
      <c r="M34" s="49">
        <v>20</v>
      </c>
      <c r="N34" s="48">
        <v>62.749492054317848</v>
      </c>
      <c r="O34" s="47">
        <v>28.000000000000004</v>
      </c>
      <c r="P34" s="48">
        <v>20.213846657139413</v>
      </c>
      <c r="Q34" s="48">
        <v>30.774648954057287</v>
      </c>
      <c r="R34" s="46">
        <v>14.902332710445803</v>
      </c>
      <c r="S34" s="50" t="s">
        <v>31</v>
      </c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</row>
    <row r="35" spans="1:39" ht="15.75" customHeight="1" x14ac:dyDescent="0.25">
      <c r="A35" s="41" t="s">
        <v>32</v>
      </c>
      <c r="B35" s="42">
        <v>51.963243930770872</v>
      </c>
      <c r="C35" s="42">
        <v>50.568099184314008</v>
      </c>
      <c r="D35" s="43">
        <v>11.5</v>
      </c>
      <c r="E35" s="44">
        <v>54.047783282122033</v>
      </c>
      <c r="F35" s="44">
        <v>29.3</v>
      </c>
      <c r="G35" s="45">
        <v>3.9274664010038989</v>
      </c>
      <c r="H35" s="46">
        <v>17.442556044397591</v>
      </c>
      <c r="I35" s="47">
        <v>15.755917958147659</v>
      </c>
      <c r="J35" s="48">
        <v>45.5199</v>
      </c>
      <c r="K35" s="42">
        <v>29.823885008724194</v>
      </c>
      <c r="L35" s="48">
        <v>5.5975893048727015</v>
      </c>
      <c r="M35" s="49">
        <v>60</v>
      </c>
      <c r="N35" s="48">
        <v>34.964030155278614</v>
      </c>
      <c r="O35" s="47">
        <v>20.9</v>
      </c>
      <c r="P35" s="48">
        <v>21.346800259145006</v>
      </c>
      <c r="Q35" s="48">
        <v>21.954824759647686</v>
      </c>
      <c r="R35" s="46">
        <v>15.130453138193076</v>
      </c>
      <c r="S35" s="50" t="s">
        <v>32</v>
      </c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</row>
    <row r="36" spans="1:39" ht="15.75" customHeight="1" x14ac:dyDescent="0.25">
      <c r="A36" s="41" t="s">
        <v>33</v>
      </c>
      <c r="B36" s="42">
        <v>43.197965632806543</v>
      </c>
      <c r="C36" s="42">
        <v>40.505685448966922</v>
      </c>
      <c r="D36" s="43">
        <v>13.7</v>
      </c>
      <c r="E36" s="44">
        <v>58.70474658085277</v>
      </c>
      <c r="F36" s="44">
        <v>23.4</v>
      </c>
      <c r="G36" s="45">
        <v>1.8294328300868523</v>
      </c>
      <c r="H36" s="46">
        <v>31.616804521775972</v>
      </c>
      <c r="I36" s="47">
        <v>10.043066281738309</v>
      </c>
      <c r="J36" s="48">
        <v>53.423299999999998</v>
      </c>
      <c r="K36" s="42">
        <v>43.291547636730421</v>
      </c>
      <c r="L36" s="48">
        <v>15.249381855414075</v>
      </c>
      <c r="M36" s="49">
        <v>5</v>
      </c>
      <c r="N36" s="48">
        <v>23.913300564706713</v>
      </c>
      <c r="O36" s="47">
        <v>45.4</v>
      </c>
      <c r="P36" s="48">
        <v>29.939331785420041</v>
      </c>
      <c r="Q36" s="48">
        <v>16.499452986523963</v>
      </c>
      <c r="R36" s="46">
        <v>16.411769181164093</v>
      </c>
      <c r="S36" s="50" t="s">
        <v>33</v>
      </c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</row>
    <row r="37" spans="1:39" ht="15.75" customHeight="1" x14ac:dyDescent="0.25">
      <c r="A37" s="41" t="s">
        <v>34</v>
      </c>
      <c r="B37" s="42">
        <v>46.633525763553905</v>
      </c>
      <c r="C37" s="42">
        <v>51.820321749654639</v>
      </c>
      <c r="D37" s="43">
        <v>11.8</v>
      </c>
      <c r="E37" s="44">
        <v>63.326713279103295</v>
      </c>
      <c r="F37" s="44">
        <v>31.5</v>
      </c>
      <c r="G37" s="45">
        <v>6.3376435522864911</v>
      </c>
      <c r="H37" s="46">
        <v>28.730213090870301</v>
      </c>
      <c r="I37" s="47">
        <v>16.977323743502591</v>
      </c>
      <c r="J37" s="48">
        <v>48.189</v>
      </c>
      <c r="K37" s="42">
        <v>45.70677910438274</v>
      </c>
      <c r="L37" s="48">
        <v>9.3628424298190396</v>
      </c>
      <c r="M37" s="49">
        <v>15</v>
      </c>
      <c r="N37" s="48">
        <v>14.974236236284748</v>
      </c>
      <c r="O37" s="47">
        <v>28.199999999999996</v>
      </c>
      <c r="P37" s="48">
        <v>30.239859349491393</v>
      </c>
      <c r="Q37" s="48">
        <v>17.782713633921627</v>
      </c>
      <c r="R37" s="46">
        <v>19.716423696359556</v>
      </c>
      <c r="S37" s="50" t="s">
        <v>34</v>
      </c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</row>
    <row r="38" spans="1:39" ht="15.75" customHeight="1" x14ac:dyDescent="0.25">
      <c r="A38" s="41" t="s">
        <v>35</v>
      </c>
      <c r="B38" s="42">
        <v>51.444808037166943</v>
      </c>
      <c r="C38" s="42">
        <v>50.972797229019783</v>
      </c>
      <c r="D38" s="43">
        <v>14.7</v>
      </c>
      <c r="E38" s="44">
        <v>55.652344957428276</v>
      </c>
      <c r="F38" s="44">
        <v>19.399999999999999</v>
      </c>
      <c r="G38" s="45">
        <v>6.0945254481721554</v>
      </c>
      <c r="H38" s="46">
        <v>15.032987952541458</v>
      </c>
      <c r="I38" s="47">
        <v>14.91353429462875</v>
      </c>
      <c r="J38" s="48">
        <v>44.273299999999999</v>
      </c>
      <c r="K38" s="42">
        <v>40.004001948118137</v>
      </c>
      <c r="L38" s="48">
        <v>19.442419192445229</v>
      </c>
      <c r="M38" s="49">
        <v>5</v>
      </c>
      <c r="N38" s="48">
        <v>9.8153936165298923</v>
      </c>
      <c r="O38" s="47">
        <v>28.000000000000004</v>
      </c>
      <c r="P38" s="48">
        <v>24.231895870483534</v>
      </c>
      <c r="Q38" s="48">
        <v>19.020469796289895</v>
      </c>
      <c r="R38" s="46">
        <v>22.387409787406177</v>
      </c>
      <c r="S38" s="50" t="s">
        <v>35</v>
      </c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</row>
    <row r="39" spans="1:39" ht="15.75" customHeight="1" x14ac:dyDescent="0.25">
      <c r="A39" s="41" t="s">
        <v>36</v>
      </c>
      <c r="B39" s="42">
        <v>42.285860644885467</v>
      </c>
      <c r="C39" s="42">
        <v>43.655318001320545</v>
      </c>
      <c r="D39" s="43">
        <v>15.1</v>
      </c>
      <c r="E39" s="44">
        <v>58.04244964174665</v>
      </c>
      <c r="F39" s="44">
        <v>24.9</v>
      </c>
      <c r="G39" s="45">
        <v>4.7471434064551659</v>
      </c>
      <c r="H39" s="46">
        <v>29.546787233832518</v>
      </c>
      <c r="I39" s="47">
        <v>17.758040425844978</v>
      </c>
      <c r="J39" s="48">
        <v>68.438299999999998</v>
      </c>
      <c r="K39" s="42">
        <v>46.391190017874329</v>
      </c>
      <c r="L39" s="48">
        <v>2.5650496593614052</v>
      </c>
      <c r="M39" s="49">
        <v>5</v>
      </c>
      <c r="N39" s="48">
        <v>18.039144944529628</v>
      </c>
      <c r="O39" s="47">
        <v>43.4</v>
      </c>
      <c r="P39" s="48">
        <v>28.809802465939438</v>
      </c>
      <c r="Q39" s="48">
        <v>7.3688125460593836</v>
      </c>
      <c r="R39" s="46">
        <v>17.50845617405103</v>
      </c>
      <c r="S39" s="50" t="s">
        <v>36</v>
      </c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</row>
    <row r="40" spans="1:39" ht="15.75" customHeight="1" x14ac:dyDescent="0.25">
      <c r="A40" s="41" t="s">
        <v>37</v>
      </c>
      <c r="B40" s="42">
        <v>46.549887189771873</v>
      </c>
      <c r="C40" s="42">
        <v>47.984071712701628</v>
      </c>
      <c r="D40" s="43">
        <v>13.4</v>
      </c>
      <c r="E40" s="44">
        <v>54.660197156281676</v>
      </c>
      <c r="F40" s="44">
        <v>27.4</v>
      </c>
      <c r="G40" s="45">
        <v>2.1669067881261963</v>
      </c>
      <c r="H40" s="46">
        <v>16.991015312929211</v>
      </c>
      <c r="I40" s="47">
        <v>8.2901725708644491</v>
      </c>
      <c r="J40" s="48">
        <v>45.654499999999999</v>
      </c>
      <c r="K40" s="42">
        <v>36.862123908070203</v>
      </c>
      <c r="L40" s="48">
        <v>8.5229443539902086</v>
      </c>
      <c r="M40" s="49">
        <v>20</v>
      </c>
      <c r="N40" s="48">
        <v>10.041763164487252</v>
      </c>
      <c r="O40" s="47">
        <v>27.700000000000003</v>
      </c>
      <c r="P40" s="48">
        <v>27.242235704340899</v>
      </c>
      <c r="Q40" s="48">
        <v>21.107793009913976</v>
      </c>
      <c r="R40" s="46">
        <v>19.081547601062116</v>
      </c>
      <c r="S40" s="50" t="s">
        <v>37</v>
      </c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</row>
    <row r="41" spans="1:39" ht="15.75" customHeight="1" x14ac:dyDescent="0.25">
      <c r="A41" s="41" t="s">
        <v>38</v>
      </c>
      <c r="B41" s="42">
        <v>49.31996509813716</v>
      </c>
      <c r="C41" s="42">
        <v>42.037160612253409</v>
      </c>
      <c r="D41" s="43">
        <v>15.9</v>
      </c>
      <c r="E41" s="44">
        <v>56.639530228212998</v>
      </c>
      <c r="F41" s="44">
        <v>18.399999999999999</v>
      </c>
      <c r="G41" s="45">
        <v>1.6066622929748693</v>
      </c>
      <c r="H41" s="46">
        <v>25.548931428801168</v>
      </c>
      <c r="I41" s="47">
        <v>18.216217436571792</v>
      </c>
      <c r="J41" s="48">
        <v>71.778599999999997</v>
      </c>
      <c r="K41" s="42">
        <v>34.555426471780187</v>
      </c>
      <c r="L41" s="48">
        <v>6.351510752200344</v>
      </c>
      <c r="M41" s="49">
        <v>45</v>
      </c>
      <c r="N41" s="48">
        <v>0.26777704882914483</v>
      </c>
      <c r="O41" s="47">
        <v>39.900000000000006</v>
      </c>
      <c r="P41" s="48">
        <v>26.085186279550776</v>
      </c>
      <c r="Q41" s="48">
        <v>6.7344060939126775</v>
      </c>
      <c r="R41" s="46">
        <v>17.504572608855909</v>
      </c>
      <c r="S41" s="50" t="s">
        <v>38</v>
      </c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</row>
    <row r="42" spans="1:39" ht="15.75" customHeight="1" x14ac:dyDescent="0.25">
      <c r="A42" s="51" t="s">
        <v>140</v>
      </c>
      <c r="B42" s="42">
        <v>36.298196250639151</v>
      </c>
      <c r="C42" s="42">
        <v>38.980833927963161</v>
      </c>
      <c r="D42" s="43">
        <v>15.7</v>
      </c>
      <c r="E42" s="44">
        <v>59.406338753864333</v>
      </c>
      <c r="F42" s="44">
        <v>17.3</v>
      </c>
      <c r="G42" s="45">
        <v>3.2211756296273317</v>
      </c>
      <c r="H42" s="46">
        <v>27.184409103016201</v>
      </c>
      <c r="I42" s="47">
        <v>12.508626562318018</v>
      </c>
      <c r="J42" s="48">
        <v>69.741600000000005</v>
      </c>
      <c r="K42" s="42">
        <v>33.636320612403054</v>
      </c>
      <c r="L42" s="48">
        <v>5.0168291815271226</v>
      </c>
      <c r="M42" s="49">
        <v>5</v>
      </c>
      <c r="N42" s="48">
        <v>12.245204415568605</v>
      </c>
      <c r="O42" s="47">
        <v>52.7</v>
      </c>
      <c r="P42" s="48">
        <v>37.655944768169903</v>
      </c>
      <c r="Q42" s="48">
        <v>8.0017308081524785</v>
      </c>
      <c r="R42" s="46">
        <v>16.164769396932378</v>
      </c>
      <c r="S42" s="50" t="s">
        <v>39</v>
      </c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</row>
    <row r="43" spans="1:39" ht="15.75" customHeight="1" x14ac:dyDescent="0.25">
      <c r="A43" s="41" t="s">
        <v>40</v>
      </c>
      <c r="B43" s="42">
        <v>53.349186376546733</v>
      </c>
      <c r="C43" s="42">
        <v>44.592811011094739</v>
      </c>
      <c r="D43" s="43">
        <v>13.5</v>
      </c>
      <c r="E43" s="44">
        <v>52.214773318639608</v>
      </c>
      <c r="F43" s="44">
        <v>12.1</v>
      </c>
      <c r="G43" s="45">
        <v>1.0187433095992264</v>
      </c>
      <c r="H43" s="46">
        <v>16.746954809405118</v>
      </c>
      <c r="I43" s="47">
        <v>11.369519706749124</v>
      </c>
      <c r="J43" s="48">
        <v>62.654400000000003</v>
      </c>
      <c r="K43" s="42">
        <v>42.111660280788712</v>
      </c>
      <c r="L43" s="48">
        <v>20.887728459530027</v>
      </c>
      <c r="M43" s="49">
        <v>10</v>
      </c>
      <c r="N43" s="48">
        <v>1.7240271393217677</v>
      </c>
      <c r="O43" s="47">
        <v>27.3</v>
      </c>
      <c r="P43" s="48">
        <v>24.870674723087561</v>
      </c>
      <c r="Q43" s="48">
        <v>13.333113304069441</v>
      </c>
      <c r="R43" s="46">
        <v>21.183413305359313</v>
      </c>
      <c r="S43" s="50" t="s">
        <v>40</v>
      </c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</row>
    <row r="44" spans="1:39" ht="15.75" customHeight="1" x14ac:dyDescent="0.25">
      <c r="A44" s="41" t="s">
        <v>41</v>
      </c>
      <c r="B44" s="42">
        <v>40.711479754142857</v>
      </c>
      <c r="C44" s="42">
        <v>36.581516822419687</v>
      </c>
      <c r="D44" s="43">
        <v>14.6</v>
      </c>
      <c r="E44" s="44">
        <v>61.121485631289538</v>
      </c>
      <c r="F44" s="44">
        <v>35.299999999999997</v>
      </c>
      <c r="G44" s="45">
        <v>2.7427537018603867</v>
      </c>
      <c r="H44" s="46">
        <v>21.820620411079531</v>
      </c>
      <c r="I44" s="47">
        <v>12.191667117978845</v>
      </c>
      <c r="J44" s="48">
        <v>53.566000000000003</v>
      </c>
      <c r="K44" s="42">
        <v>41.113450015343453</v>
      </c>
      <c r="L44" s="48">
        <v>13.411927226882867</v>
      </c>
      <c r="M44" s="49">
        <v>45</v>
      </c>
      <c r="N44" s="48">
        <v>18.170743274825064</v>
      </c>
      <c r="O44" s="47">
        <v>43.9</v>
      </c>
      <c r="P44" s="48">
        <v>36.721016369664319</v>
      </c>
      <c r="Q44" s="48">
        <v>30.90608813152166</v>
      </c>
      <c r="R44" s="46">
        <v>14.562865254592817</v>
      </c>
      <c r="S44" s="50" t="s">
        <v>41</v>
      </c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</row>
    <row r="45" spans="1:39" ht="15" customHeight="1" x14ac:dyDescent="0.25">
      <c r="F45" s="47"/>
      <c r="G45" s="47"/>
      <c r="S45" s="52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</row>
    <row r="46" spans="1:39" ht="15.75" customHeight="1" x14ac:dyDescent="0.25">
      <c r="A46" s="53"/>
      <c r="B46" s="53"/>
      <c r="C46" s="54"/>
      <c r="D46" s="54"/>
      <c r="E46" s="55"/>
      <c r="F46" s="47"/>
      <c r="G46" s="47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6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</row>
    <row r="47" spans="1:39" ht="15.75" customHeight="1" x14ac:dyDescent="0.25">
      <c r="A47" s="57"/>
      <c r="B47" s="53"/>
      <c r="C47" s="54"/>
      <c r="D47" s="54"/>
      <c r="E47" s="53"/>
      <c r="F47" s="47"/>
      <c r="G47" s="47"/>
      <c r="H47" s="54"/>
      <c r="I47" s="53"/>
      <c r="J47" s="54"/>
      <c r="K47" s="54"/>
      <c r="L47" s="54"/>
      <c r="M47" s="54"/>
      <c r="N47" s="53"/>
      <c r="O47" s="53"/>
      <c r="P47" s="54"/>
      <c r="Q47" s="53"/>
      <c r="R47" s="54"/>
      <c r="S47" s="56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</row>
    <row r="48" spans="1:39" ht="15.75" customHeight="1" x14ac:dyDescent="0.25">
      <c r="A48" s="54"/>
      <c r="B48" s="53"/>
      <c r="C48" s="54"/>
      <c r="D48" s="54"/>
      <c r="E48" s="55"/>
      <c r="F48" s="47"/>
      <c r="G48" s="47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6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</row>
    <row r="49" spans="1:19" ht="15.75" customHeight="1" x14ac:dyDescent="0.25">
      <c r="A49" s="54"/>
      <c r="B49" s="53"/>
      <c r="C49" s="54"/>
      <c r="D49" s="54"/>
      <c r="E49" s="55"/>
      <c r="F49" s="53"/>
      <c r="G49" s="53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6"/>
    </row>
    <row r="50" spans="1:19" ht="15.75" customHeight="1" x14ac:dyDescent="0.25">
      <c r="A50" s="54"/>
      <c r="B50" s="58"/>
      <c r="C50" s="54"/>
      <c r="D50" s="54"/>
      <c r="E50" s="55"/>
      <c r="F50" s="53"/>
      <c r="G50" s="53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6"/>
    </row>
    <row r="51" spans="1:19" ht="15.75" customHeight="1" x14ac:dyDescent="0.25">
      <c r="A51" s="54"/>
      <c r="B51" s="45"/>
      <c r="C51" s="54"/>
      <c r="D51" s="54"/>
      <c r="E51" s="55"/>
      <c r="F51" s="53"/>
      <c r="G51" s="53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6"/>
    </row>
    <row r="52" spans="1:19" ht="15.75" customHeight="1" x14ac:dyDescent="0.25">
      <c r="A52" s="54"/>
      <c r="B52" s="47"/>
      <c r="C52" s="54"/>
      <c r="D52" s="54"/>
      <c r="E52" s="55"/>
      <c r="F52" s="53"/>
      <c r="G52" s="53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6"/>
    </row>
    <row r="53" spans="1:19" ht="15.75" customHeight="1" x14ac:dyDescent="0.25">
      <c r="A53" s="54"/>
      <c r="B53" s="22"/>
      <c r="C53" s="54"/>
      <c r="D53" s="54"/>
      <c r="E53" s="55"/>
      <c r="F53" s="53"/>
      <c r="G53" s="53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6"/>
    </row>
    <row r="54" spans="1:19" ht="15.75" customHeight="1" x14ac:dyDescent="0.25">
      <c r="A54" s="54"/>
      <c r="B54" s="53"/>
      <c r="C54" s="54"/>
      <c r="D54" s="54"/>
      <c r="E54" s="55"/>
      <c r="F54" s="53"/>
      <c r="G54" s="53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6"/>
    </row>
    <row r="55" spans="1:19" ht="15.75" customHeight="1" x14ac:dyDescent="0.25">
      <c r="A55" s="54"/>
      <c r="B55" s="53"/>
      <c r="C55" s="54"/>
      <c r="D55" s="54"/>
      <c r="E55" s="55"/>
      <c r="F55" s="53"/>
      <c r="G55" s="53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6"/>
    </row>
    <row r="56" spans="1:19" ht="15.75" customHeight="1" x14ac:dyDescent="0.25">
      <c r="A56" s="54"/>
      <c r="B56" s="53"/>
      <c r="C56" s="54"/>
      <c r="D56" s="54"/>
      <c r="E56" s="55"/>
      <c r="F56" s="53"/>
      <c r="G56" s="53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6"/>
    </row>
    <row r="57" spans="1:19" ht="15.75" customHeight="1" x14ac:dyDescent="0.25">
      <c r="A57" s="54"/>
      <c r="B57" s="53"/>
      <c r="C57" s="54"/>
      <c r="D57" s="54"/>
      <c r="E57" s="55"/>
      <c r="F57" s="53"/>
      <c r="G57" s="53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6"/>
    </row>
    <row r="58" spans="1:19" ht="15.75" customHeight="1" x14ac:dyDescent="0.25">
      <c r="A58" s="54"/>
      <c r="B58" s="53"/>
      <c r="C58" s="54"/>
      <c r="D58" s="54"/>
      <c r="E58" s="55"/>
      <c r="F58" s="53"/>
      <c r="G58" s="53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6"/>
    </row>
    <row r="59" spans="1:19" ht="15.75" customHeight="1" x14ac:dyDescent="0.25">
      <c r="A59" s="54"/>
      <c r="B59" s="53"/>
      <c r="C59" s="54"/>
      <c r="D59" s="54"/>
      <c r="E59" s="55"/>
      <c r="F59" s="53"/>
      <c r="G59" s="53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6"/>
    </row>
    <row r="60" spans="1:19" ht="15.75" customHeight="1" x14ac:dyDescent="0.25">
      <c r="A60" s="54"/>
      <c r="B60" s="53"/>
      <c r="C60" s="54"/>
      <c r="D60" s="54"/>
      <c r="E60" s="55"/>
      <c r="F60" s="53"/>
      <c r="G60" s="53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6"/>
    </row>
    <row r="61" spans="1:19" ht="15.75" customHeight="1" x14ac:dyDescent="0.25">
      <c r="A61" s="54"/>
      <c r="B61" s="53"/>
      <c r="C61" s="54"/>
      <c r="D61" s="54"/>
      <c r="E61" s="55"/>
      <c r="F61" s="53"/>
      <c r="G61" s="53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6"/>
    </row>
    <row r="62" spans="1:19" ht="15.75" customHeight="1" x14ac:dyDescent="0.25">
      <c r="A62" s="54"/>
      <c r="B62" s="53"/>
      <c r="C62" s="54"/>
      <c r="D62" s="54"/>
      <c r="E62" s="55"/>
      <c r="F62" s="53"/>
      <c r="G62" s="53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6"/>
    </row>
    <row r="63" spans="1:19" ht="15.75" customHeight="1" x14ac:dyDescent="0.25">
      <c r="A63" s="54"/>
      <c r="B63" s="53"/>
      <c r="C63" s="54"/>
      <c r="D63" s="54"/>
      <c r="E63" s="55"/>
      <c r="F63" s="53"/>
      <c r="G63" s="53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6"/>
    </row>
    <row r="64" spans="1:19" ht="15.75" customHeight="1" x14ac:dyDescent="0.25">
      <c r="A64" s="54"/>
      <c r="B64" s="53"/>
      <c r="C64" s="54"/>
      <c r="D64" s="54"/>
      <c r="E64" s="55"/>
      <c r="F64" s="53"/>
      <c r="G64" s="53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6"/>
    </row>
    <row r="65" spans="1:19" ht="15.75" customHeight="1" x14ac:dyDescent="0.25">
      <c r="A65" s="54"/>
      <c r="B65" s="53"/>
      <c r="C65" s="54"/>
      <c r="D65" s="54"/>
      <c r="E65" s="55"/>
      <c r="F65" s="53"/>
      <c r="G65" s="53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6"/>
    </row>
    <row r="66" spans="1:19" ht="15.75" customHeight="1" x14ac:dyDescent="0.25">
      <c r="A66" s="54"/>
      <c r="B66" s="53"/>
      <c r="C66" s="54"/>
      <c r="D66" s="54"/>
      <c r="E66" s="55"/>
      <c r="F66" s="53"/>
      <c r="G66" s="53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6"/>
    </row>
    <row r="67" spans="1:19" ht="15.75" customHeight="1" x14ac:dyDescent="0.25">
      <c r="A67" s="54"/>
      <c r="B67" s="53"/>
      <c r="C67" s="54"/>
      <c r="D67" s="54"/>
      <c r="E67" s="55"/>
      <c r="F67" s="53"/>
      <c r="G67" s="53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6"/>
    </row>
    <row r="68" spans="1:19" ht="15.75" customHeight="1" x14ac:dyDescent="0.25">
      <c r="A68" s="54"/>
      <c r="B68" s="53"/>
      <c r="C68" s="54"/>
      <c r="D68" s="54"/>
      <c r="E68" s="55"/>
      <c r="F68" s="53"/>
      <c r="G68" s="53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6"/>
    </row>
    <row r="69" spans="1:19" ht="15.75" customHeight="1" x14ac:dyDescent="0.25">
      <c r="A69" s="54"/>
      <c r="B69" s="53"/>
      <c r="C69" s="54"/>
      <c r="D69" s="54"/>
      <c r="E69" s="55"/>
      <c r="F69" s="53"/>
      <c r="G69" s="53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6"/>
    </row>
    <row r="70" spans="1:19" ht="15.75" customHeight="1" x14ac:dyDescent="0.25">
      <c r="A70" s="54"/>
      <c r="B70" s="53"/>
      <c r="C70" s="54"/>
      <c r="D70" s="54"/>
      <c r="E70" s="55"/>
      <c r="F70" s="53"/>
      <c r="G70" s="53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6"/>
    </row>
    <row r="71" spans="1:19" ht="15.75" customHeight="1" x14ac:dyDescent="0.25">
      <c r="A71" s="54"/>
      <c r="B71" s="53"/>
      <c r="C71" s="54"/>
      <c r="D71" s="54"/>
      <c r="E71" s="55"/>
      <c r="F71" s="53"/>
      <c r="G71" s="53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6"/>
    </row>
    <row r="72" spans="1:19" ht="15.75" customHeight="1" x14ac:dyDescent="0.25">
      <c r="A72" s="54"/>
      <c r="B72" s="53"/>
      <c r="C72" s="54"/>
      <c r="D72" s="54"/>
      <c r="E72" s="55"/>
      <c r="F72" s="53"/>
      <c r="G72" s="53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6"/>
    </row>
    <row r="73" spans="1:19" ht="15.75" customHeight="1" x14ac:dyDescent="0.25">
      <c r="A73" s="54"/>
      <c r="B73" s="53"/>
      <c r="C73" s="54"/>
      <c r="D73" s="54"/>
      <c r="E73" s="55"/>
      <c r="F73" s="53"/>
      <c r="G73" s="53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6"/>
    </row>
    <row r="74" spans="1:19" ht="15.75" customHeight="1" x14ac:dyDescent="0.25">
      <c r="A74" s="54"/>
      <c r="B74" s="53"/>
      <c r="C74" s="54"/>
      <c r="D74" s="54"/>
      <c r="E74" s="55"/>
      <c r="F74" s="53"/>
      <c r="G74" s="5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6"/>
    </row>
    <row r="75" spans="1:19" ht="15.75" customHeight="1" x14ac:dyDescent="0.25">
      <c r="A75" s="54"/>
      <c r="B75" s="53"/>
      <c r="C75" s="54"/>
      <c r="D75" s="54"/>
      <c r="E75" s="55"/>
      <c r="F75" s="53"/>
      <c r="G75" s="53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6"/>
    </row>
    <row r="76" spans="1:19" ht="15.75" customHeight="1" x14ac:dyDescent="0.25">
      <c r="A76" s="54"/>
      <c r="B76" s="53"/>
      <c r="C76" s="54"/>
      <c r="D76" s="54"/>
      <c r="E76" s="55"/>
      <c r="F76" s="53"/>
      <c r="G76" s="53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6"/>
    </row>
    <row r="77" spans="1:19" ht="15.75" customHeight="1" x14ac:dyDescent="0.25">
      <c r="A77" s="54"/>
      <c r="B77" s="53"/>
      <c r="C77" s="54"/>
      <c r="D77" s="54"/>
      <c r="E77" s="55"/>
      <c r="F77" s="53"/>
      <c r="G77" s="53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6"/>
    </row>
    <row r="78" spans="1:19" ht="15.75" customHeight="1" x14ac:dyDescent="0.25">
      <c r="A78" s="54"/>
      <c r="B78" s="53"/>
      <c r="C78" s="54"/>
      <c r="D78" s="54"/>
      <c r="E78" s="55"/>
      <c r="F78" s="53"/>
      <c r="G78" s="53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6"/>
    </row>
    <row r="79" spans="1:19" ht="15.75" customHeight="1" x14ac:dyDescent="0.25">
      <c r="A79" s="54"/>
      <c r="B79" s="53"/>
      <c r="C79" s="54"/>
      <c r="D79" s="54"/>
      <c r="E79" s="55"/>
      <c r="F79" s="53"/>
      <c r="G79" s="53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6"/>
    </row>
    <row r="80" spans="1:19" ht="15.75" customHeight="1" x14ac:dyDescent="0.25">
      <c r="A80" s="54"/>
      <c r="B80" s="53"/>
      <c r="C80" s="54"/>
      <c r="D80" s="54"/>
      <c r="E80" s="55"/>
      <c r="F80" s="53"/>
      <c r="G80" s="53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6"/>
    </row>
    <row r="81" spans="1:19" ht="15.75" customHeight="1" x14ac:dyDescent="0.25">
      <c r="A81" s="54"/>
      <c r="B81" s="53"/>
      <c r="C81" s="54"/>
      <c r="D81" s="54"/>
      <c r="E81" s="55"/>
      <c r="F81" s="53"/>
      <c r="G81" s="53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6"/>
    </row>
    <row r="82" spans="1:19" ht="15.75" customHeight="1" x14ac:dyDescent="0.25">
      <c r="A82" s="54"/>
      <c r="B82" s="53"/>
      <c r="C82" s="54"/>
      <c r="D82" s="54"/>
      <c r="E82" s="55"/>
      <c r="F82" s="53"/>
      <c r="G82" s="53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6"/>
    </row>
    <row r="83" spans="1:19" ht="15.75" customHeight="1" x14ac:dyDescent="0.25">
      <c r="A83" s="54"/>
      <c r="B83" s="53"/>
      <c r="C83" s="54"/>
      <c r="D83" s="54"/>
      <c r="E83" s="55"/>
      <c r="F83" s="53"/>
      <c r="G83" s="53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6"/>
    </row>
    <row r="84" spans="1:19" ht="15.75" customHeight="1" x14ac:dyDescent="0.25">
      <c r="A84" s="54"/>
      <c r="B84" s="53"/>
      <c r="C84" s="54"/>
      <c r="D84" s="54"/>
      <c r="E84" s="55"/>
      <c r="F84" s="53"/>
      <c r="G84" s="53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6"/>
    </row>
    <row r="85" spans="1:19" ht="15.75" customHeight="1" x14ac:dyDescent="0.25">
      <c r="A85" s="54"/>
      <c r="B85" s="53"/>
      <c r="C85" s="54"/>
      <c r="D85" s="54"/>
      <c r="E85" s="55"/>
      <c r="F85" s="53"/>
      <c r="G85" s="53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6"/>
    </row>
    <row r="86" spans="1:19" ht="15.75" customHeight="1" x14ac:dyDescent="0.25">
      <c r="A86" s="54"/>
      <c r="B86" s="53"/>
      <c r="C86" s="54"/>
      <c r="D86" s="54"/>
      <c r="E86" s="55"/>
      <c r="F86" s="53"/>
      <c r="G86" s="53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6"/>
    </row>
    <row r="87" spans="1:19" ht="15.75" customHeight="1" x14ac:dyDescent="0.25">
      <c r="A87" s="54"/>
      <c r="B87" s="53"/>
      <c r="C87" s="54"/>
      <c r="D87" s="54"/>
      <c r="E87" s="55"/>
      <c r="F87" s="53"/>
      <c r="G87" s="53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6"/>
    </row>
    <row r="88" spans="1:19" ht="15.75" customHeight="1" x14ac:dyDescent="0.25">
      <c r="A88" s="54"/>
      <c r="B88" s="53"/>
      <c r="C88" s="54"/>
      <c r="D88" s="54"/>
      <c r="E88" s="55"/>
      <c r="F88" s="53"/>
      <c r="G88" s="53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6"/>
    </row>
    <row r="89" spans="1:19" ht="15.75" customHeight="1" x14ac:dyDescent="0.25">
      <c r="A89" s="54"/>
      <c r="B89" s="53"/>
      <c r="C89" s="54"/>
      <c r="D89" s="54"/>
      <c r="E89" s="55"/>
      <c r="F89" s="53"/>
      <c r="G89" s="53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6"/>
    </row>
    <row r="90" spans="1:19" ht="15.75" customHeight="1" x14ac:dyDescent="0.25">
      <c r="A90" s="54"/>
      <c r="B90" s="53"/>
      <c r="C90" s="54"/>
      <c r="D90" s="54"/>
      <c r="E90" s="55"/>
      <c r="F90" s="53"/>
      <c r="G90" s="53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6"/>
    </row>
    <row r="91" spans="1:19" ht="15.75" customHeight="1" x14ac:dyDescent="0.25">
      <c r="A91" s="54"/>
      <c r="B91" s="53"/>
      <c r="C91" s="54"/>
      <c r="D91" s="54"/>
      <c r="E91" s="55"/>
      <c r="F91" s="53"/>
      <c r="G91" s="53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6"/>
    </row>
    <row r="92" spans="1:19" ht="15.75" customHeight="1" x14ac:dyDescent="0.25">
      <c r="A92" s="54"/>
      <c r="B92" s="53"/>
      <c r="C92" s="54"/>
      <c r="D92" s="54"/>
      <c r="E92" s="55"/>
      <c r="F92" s="53"/>
      <c r="G92" s="53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6"/>
    </row>
    <row r="93" spans="1:19" ht="15.75" customHeight="1" x14ac:dyDescent="0.25">
      <c r="A93" s="54"/>
      <c r="B93" s="53"/>
      <c r="C93" s="54"/>
      <c r="D93" s="54"/>
      <c r="E93" s="55"/>
      <c r="F93" s="53"/>
      <c r="G93" s="53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6"/>
    </row>
    <row r="94" spans="1:19" ht="15.75" customHeight="1" x14ac:dyDescent="0.25">
      <c r="A94" s="54"/>
      <c r="B94" s="53"/>
      <c r="C94" s="54"/>
      <c r="D94" s="54"/>
      <c r="E94" s="55"/>
      <c r="F94" s="53"/>
      <c r="G94" s="53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6"/>
    </row>
    <row r="95" spans="1:19" ht="15.75" customHeight="1" x14ac:dyDescent="0.25">
      <c r="A95" s="54"/>
      <c r="B95" s="53"/>
      <c r="C95" s="54"/>
      <c r="D95" s="54"/>
      <c r="E95" s="55"/>
      <c r="F95" s="53"/>
      <c r="G95" s="53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6"/>
    </row>
    <row r="96" spans="1:19" ht="15.75" customHeight="1" x14ac:dyDescent="0.25">
      <c r="A96" s="54"/>
      <c r="B96" s="53"/>
      <c r="C96" s="54"/>
      <c r="D96" s="54"/>
      <c r="E96" s="55"/>
      <c r="F96" s="53"/>
      <c r="G96" s="53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6"/>
    </row>
    <row r="97" spans="1:19" ht="15.75" customHeight="1" x14ac:dyDescent="0.25">
      <c r="A97" s="54"/>
      <c r="B97" s="53"/>
      <c r="C97" s="54"/>
      <c r="D97" s="54"/>
      <c r="E97" s="55"/>
      <c r="F97" s="53"/>
      <c r="G97" s="53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6"/>
    </row>
    <row r="98" spans="1:19" ht="15.75" customHeight="1" x14ac:dyDescent="0.25">
      <c r="A98" s="54"/>
      <c r="B98" s="53"/>
      <c r="C98" s="54"/>
      <c r="D98" s="54"/>
      <c r="E98" s="55"/>
      <c r="F98" s="53"/>
      <c r="G98" s="53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6"/>
    </row>
    <row r="99" spans="1:19" ht="15.75" customHeight="1" x14ac:dyDescent="0.25">
      <c r="A99" s="54"/>
      <c r="B99" s="53"/>
      <c r="C99" s="54"/>
      <c r="D99" s="54"/>
      <c r="E99" s="55"/>
      <c r="F99" s="53"/>
      <c r="G99" s="53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6"/>
    </row>
    <row r="100" spans="1:19" ht="15.75" customHeight="1" x14ac:dyDescent="0.25">
      <c r="A100" s="54"/>
      <c r="B100" s="53"/>
      <c r="C100" s="54"/>
      <c r="D100" s="54"/>
      <c r="E100" s="55"/>
      <c r="F100" s="53"/>
      <c r="G100" s="53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6"/>
    </row>
    <row r="101" spans="1:19" ht="15.75" customHeight="1" x14ac:dyDescent="0.25">
      <c r="A101" s="54"/>
      <c r="B101" s="53"/>
      <c r="C101" s="54"/>
      <c r="D101" s="54"/>
      <c r="E101" s="55"/>
      <c r="F101" s="53"/>
      <c r="G101" s="53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6"/>
    </row>
    <row r="102" spans="1:19" ht="15.75" customHeight="1" x14ac:dyDescent="0.25">
      <c r="A102" s="54"/>
      <c r="B102" s="53"/>
      <c r="C102" s="54"/>
      <c r="D102" s="54"/>
      <c r="E102" s="55"/>
      <c r="F102" s="53"/>
      <c r="G102" s="53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6"/>
    </row>
    <row r="103" spans="1:19" ht="15.75" customHeight="1" x14ac:dyDescent="0.25">
      <c r="A103" s="54"/>
      <c r="B103" s="53"/>
      <c r="C103" s="54"/>
      <c r="D103" s="54"/>
      <c r="E103" s="55"/>
      <c r="F103" s="53"/>
      <c r="G103" s="53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6"/>
    </row>
    <row r="104" spans="1:19" ht="15.75" customHeight="1" x14ac:dyDescent="0.25">
      <c r="A104" s="54"/>
      <c r="B104" s="53"/>
      <c r="C104" s="54"/>
      <c r="D104" s="54"/>
      <c r="E104" s="55"/>
      <c r="F104" s="53"/>
      <c r="G104" s="53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6"/>
    </row>
    <row r="105" spans="1:19" ht="15.75" customHeight="1" x14ac:dyDescent="0.25">
      <c r="A105" s="54"/>
      <c r="B105" s="53"/>
      <c r="C105" s="54"/>
      <c r="D105" s="54"/>
      <c r="E105" s="55"/>
      <c r="F105" s="53"/>
      <c r="G105" s="53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6"/>
    </row>
    <row r="106" spans="1:19" ht="15.75" customHeight="1" x14ac:dyDescent="0.25">
      <c r="A106" s="54"/>
      <c r="B106" s="53"/>
      <c r="C106" s="54"/>
      <c r="D106" s="54"/>
      <c r="E106" s="55"/>
      <c r="F106" s="53"/>
      <c r="G106" s="53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6"/>
    </row>
    <row r="107" spans="1:19" ht="15.75" customHeight="1" x14ac:dyDescent="0.25">
      <c r="A107" s="54"/>
      <c r="B107" s="53"/>
      <c r="C107" s="54"/>
      <c r="D107" s="54"/>
      <c r="E107" s="55"/>
      <c r="F107" s="53"/>
      <c r="G107" s="53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6"/>
    </row>
    <row r="108" spans="1:19" ht="15.75" customHeight="1" x14ac:dyDescent="0.25">
      <c r="A108" s="54"/>
      <c r="B108" s="53"/>
      <c r="C108" s="54"/>
      <c r="D108" s="54"/>
      <c r="E108" s="55"/>
      <c r="F108" s="53"/>
      <c r="G108" s="53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6"/>
    </row>
    <row r="109" spans="1:19" ht="15.75" customHeight="1" x14ac:dyDescent="0.25">
      <c r="A109" s="54"/>
      <c r="B109" s="53"/>
      <c r="C109" s="54"/>
      <c r="D109" s="54"/>
      <c r="E109" s="55"/>
      <c r="F109" s="53"/>
      <c r="G109" s="53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6"/>
    </row>
    <row r="110" spans="1:19" ht="15.75" customHeight="1" x14ac:dyDescent="0.25">
      <c r="A110" s="54"/>
      <c r="B110" s="53"/>
      <c r="C110" s="54"/>
      <c r="D110" s="54"/>
      <c r="E110" s="55"/>
      <c r="F110" s="53"/>
      <c r="G110" s="53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6"/>
    </row>
    <row r="111" spans="1:19" ht="15.75" customHeight="1" x14ac:dyDescent="0.25">
      <c r="A111" s="54"/>
      <c r="B111" s="53"/>
      <c r="C111" s="54"/>
      <c r="D111" s="54"/>
      <c r="E111" s="55"/>
      <c r="F111" s="53"/>
      <c r="G111" s="53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6"/>
    </row>
    <row r="112" spans="1:19" ht="15.75" customHeight="1" x14ac:dyDescent="0.25">
      <c r="A112" s="54"/>
      <c r="B112" s="53"/>
      <c r="C112" s="54"/>
      <c r="D112" s="54"/>
      <c r="E112" s="55"/>
      <c r="F112" s="53"/>
      <c r="G112" s="53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6"/>
    </row>
    <row r="113" spans="1:19" ht="15.75" customHeight="1" x14ac:dyDescent="0.25">
      <c r="A113" s="54"/>
      <c r="B113" s="53"/>
      <c r="C113" s="54"/>
      <c r="D113" s="54"/>
      <c r="E113" s="55"/>
      <c r="F113" s="53"/>
      <c r="G113" s="53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6"/>
    </row>
    <row r="114" spans="1:19" ht="15.75" customHeight="1" x14ac:dyDescent="0.25">
      <c r="A114" s="54"/>
      <c r="B114" s="53"/>
      <c r="C114" s="54"/>
      <c r="D114" s="54"/>
      <c r="E114" s="55"/>
      <c r="F114" s="53"/>
      <c r="G114" s="53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6"/>
    </row>
    <row r="115" spans="1:19" ht="15.75" customHeight="1" x14ac:dyDescent="0.25">
      <c r="A115" s="54"/>
      <c r="B115" s="53"/>
      <c r="C115" s="54"/>
      <c r="D115" s="54"/>
      <c r="E115" s="55"/>
      <c r="F115" s="53"/>
      <c r="G115" s="53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6"/>
    </row>
    <row r="116" spans="1:19" ht="15.75" customHeight="1" x14ac:dyDescent="0.25">
      <c r="A116" s="54"/>
      <c r="B116" s="53"/>
      <c r="C116" s="54"/>
      <c r="D116" s="54"/>
      <c r="E116" s="55"/>
      <c r="F116" s="53"/>
      <c r="G116" s="53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6"/>
    </row>
    <row r="117" spans="1:19" ht="15.75" customHeight="1" x14ac:dyDescent="0.25">
      <c r="A117" s="54"/>
      <c r="B117" s="53"/>
      <c r="C117" s="54"/>
      <c r="D117" s="54"/>
      <c r="E117" s="55"/>
      <c r="F117" s="53"/>
      <c r="G117" s="53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6"/>
    </row>
    <row r="118" spans="1:19" ht="15.75" customHeight="1" x14ac:dyDescent="0.25">
      <c r="A118" s="54"/>
      <c r="B118" s="53"/>
      <c r="C118" s="54"/>
      <c r="D118" s="54"/>
      <c r="E118" s="55"/>
      <c r="F118" s="53"/>
      <c r="G118" s="53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6"/>
    </row>
    <row r="119" spans="1:19" ht="15.75" customHeight="1" x14ac:dyDescent="0.25">
      <c r="A119" s="54"/>
      <c r="B119" s="53"/>
      <c r="C119" s="54"/>
      <c r="D119" s="54"/>
      <c r="E119" s="55"/>
      <c r="F119" s="53"/>
      <c r="G119" s="53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6"/>
    </row>
    <row r="120" spans="1:19" ht="15.75" customHeight="1" x14ac:dyDescent="0.25">
      <c r="A120" s="54"/>
      <c r="B120" s="53"/>
      <c r="C120" s="54"/>
      <c r="D120" s="54"/>
      <c r="E120" s="55"/>
      <c r="F120" s="53"/>
      <c r="G120" s="53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6"/>
    </row>
    <row r="121" spans="1:19" ht="15.75" customHeight="1" x14ac:dyDescent="0.25">
      <c r="A121" s="54"/>
      <c r="B121" s="53"/>
      <c r="C121" s="54"/>
      <c r="D121" s="54"/>
      <c r="E121" s="55"/>
      <c r="F121" s="53"/>
      <c r="G121" s="53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6"/>
    </row>
    <row r="122" spans="1:19" ht="15.75" customHeight="1" x14ac:dyDescent="0.25">
      <c r="A122" s="54"/>
      <c r="B122" s="53"/>
      <c r="C122" s="54"/>
      <c r="D122" s="54"/>
      <c r="E122" s="55"/>
      <c r="F122" s="53"/>
      <c r="G122" s="53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6"/>
    </row>
    <row r="123" spans="1:19" ht="15.75" customHeight="1" x14ac:dyDescent="0.25">
      <c r="A123" s="54"/>
      <c r="B123" s="53"/>
      <c r="C123" s="54"/>
      <c r="D123" s="54"/>
      <c r="E123" s="55"/>
      <c r="F123" s="53"/>
      <c r="G123" s="5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6"/>
    </row>
    <row r="124" spans="1:19" ht="15.75" customHeight="1" x14ac:dyDescent="0.25">
      <c r="A124" s="54"/>
      <c r="B124" s="53"/>
      <c r="C124" s="54"/>
      <c r="D124" s="54"/>
      <c r="E124" s="55"/>
      <c r="F124" s="53"/>
      <c r="G124" s="53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6"/>
    </row>
    <row r="125" spans="1:19" ht="15.75" customHeight="1" x14ac:dyDescent="0.25">
      <c r="A125" s="54"/>
      <c r="B125" s="53"/>
      <c r="C125" s="54"/>
      <c r="D125" s="54"/>
      <c r="E125" s="55"/>
      <c r="F125" s="53"/>
      <c r="G125" s="53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6"/>
    </row>
    <row r="126" spans="1:19" ht="15.75" customHeight="1" x14ac:dyDescent="0.25">
      <c r="A126" s="54"/>
      <c r="B126" s="53"/>
      <c r="C126" s="54"/>
      <c r="D126" s="54"/>
      <c r="E126" s="55"/>
      <c r="F126" s="53"/>
      <c r="G126" s="53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6"/>
    </row>
    <row r="127" spans="1:19" ht="15.75" customHeight="1" x14ac:dyDescent="0.25">
      <c r="A127" s="54"/>
      <c r="B127" s="53"/>
      <c r="C127" s="54"/>
      <c r="D127" s="54"/>
      <c r="E127" s="55"/>
      <c r="F127" s="53"/>
      <c r="G127" s="53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6"/>
    </row>
    <row r="128" spans="1:19" ht="15.75" customHeight="1" x14ac:dyDescent="0.25">
      <c r="A128" s="54"/>
      <c r="B128" s="53"/>
      <c r="C128" s="54"/>
      <c r="D128" s="54"/>
      <c r="E128" s="55"/>
      <c r="F128" s="53"/>
      <c r="G128" s="53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6"/>
    </row>
    <row r="129" spans="1:19" ht="15.75" customHeight="1" x14ac:dyDescent="0.25">
      <c r="A129" s="54"/>
      <c r="B129" s="53"/>
      <c r="C129" s="54"/>
      <c r="D129" s="54"/>
      <c r="E129" s="55"/>
      <c r="F129" s="53"/>
      <c r="G129" s="53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6"/>
    </row>
    <row r="130" spans="1:19" ht="15.75" customHeight="1" x14ac:dyDescent="0.25">
      <c r="A130" s="54"/>
      <c r="B130" s="53"/>
      <c r="C130" s="54"/>
      <c r="D130" s="54"/>
      <c r="E130" s="55"/>
      <c r="F130" s="53"/>
      <c r="G130" s="53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6"/>
    </row>
    <row r="131" spans="1:19" ht="15.75" customHeight="1" x14ac:dyDescent="0.25">
      <c r="A131" s="54"/>
      <c r="B131" s="53"/>
      <c r="C131" s="54"/>
      <c r="D131" s="54"/>
      <c r="E131" s="55"/>
      <c r="F131" s="53"/>
      <c r="G131" s="53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6"/>
    </row>
    <row r="132" spans="1:19" ht="15.75" customHeight="1" x14ac:dyDescent="0.25">
      <c r="A132" s="54"/>
      <c r="B132" s="53"/>
      <c r="C132" s="54"/>
      <c r="D132" s="54"/>
      <c r="E132" s="55"/>
      <c r="F132" s="53"/>
      <c r="G132" s="53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6"/>
    </row>
    <row r="133" spans="1:19" ht="15.75" customHeight="1" x14ac:dyDescent="0.25">
      <c r="A133" s="54"/>
      <c r="B133" s="53"/>
      <c r="C133" s="54"/>
      <c r="D133" s="54"/>
      <c r="E133" s="55"/>
      <c r="F133" s="53"/>
      <c r="G133" s="53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6"/>
    </row>
    <row r="134" spans="1:19" ht="15.75" customHeight="1" x14ac:dyDescent="0.25">
      <c r="A134" s="54"/>
      <c r="B134" s="53"/>
      <c r="C134" s="54"/>
      <c r="D134" s="54"/>
      <c r="E134" s="55"/>
      <c r="F134" s="53"/>
      <c r="G134" s="53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6"/>
    </row>
    <row r="135" spans="1:19" ht="15.75" customHeight="1" x14ac:dyDescent="0.25">
      <c r="A135" s="54"/>
      <c r="B135" s="53"/>
      <c r="C135" s="54"/>
      <c r="D135" s="54"/>
      <c r="E135" s="55"/>
      <c r="F135" s="53"/>
      <c r="G135" s="53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6"/>
    </row>
    <row r="136" spans="1:19" ht="15.75" customHeight="1" x14ac:dyDescent="0.25">
      <c r="A136" s="54"/>
      <c r="B136" s="53"/>
      <c r="C136" s="54"/>
      <c r="D136" s="54"/>
      <c r="E136" s="55"/>
      <c r="F136" s="53"/>
      <c r="G136" s="53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6"/>
    </row>
    <row r="137" spans="1:19" ht="15.75" customHeight="1" x14ac:dyDescent="0.25">
      <c r="A137" s="54"/>
      <c r="B137" s="53"/>
      <c r="C137" s="54"/>
      <c r="D137" s="54"/>
      <c r="E137" s="55"/>
      <c r="F137" s="53"/>
      <c r="G137" s="53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6"/>
    </row>
    <row r="138" spans="1:19" ht="15.75" customHeight="1" x14ac:dyDescent="0.25">
      <c r="A138" s="54"/>
      <c r="B138" s="53"/>
      <c r="C138" s="54"/>
      <c r="D138" s="54"/>
      <c r="E138" s="55"/>
      <c r="F138" s="53"/>
      <c r="G138" s="53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6"/>
    </row>
    <row r="139" spans="1:19" ht="15.75" customHeight="1" x14ac:dyDescent="0.25">
      <c r="A139" s="54"/>
      <c r="B139" s="53"/>
      <c r="C139" s="54"/>
      <c r="D139" s="54"/>
      <c r="E139" s="55"/>
      <c r="F139" s="53"/>
      <c r="G139" s="53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6"/>
    </row>
    <row r="140" spans="1:19" ht="15.75" customHeight="1" x14ac:dyDescent="0.25">
      <c r="A140" s="54"/>
      <c r="B140" s="53"/>
      <c r="C140" s="54"/>
      <c r="D140" s="54"/>
      <c r="E140" s="55"/>
      <c r="F140" s="53"/>
      <c r="G140" s="53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6"/>
    </row>
    <row r="141" spans="1:19" ht="15.75" customHeight="1" x14ac:dyDescent="0.25">
      <c r="A141" s="54"/>
      <c r="B141" s="53"/>
      <c r="C141" s="54"/>
      <c r="D141" s="54"/>
      <c r="E141" s="55"/>
      <c r="F141" s="53"/>
      <c r="G141" s="53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6"/>
    </row>
    <row r="142" spans="1:19" ht="15.75" customHeight="1" x14ac:dyDescent="0.25">
      <c r="A142" s="54"/>
      <c r="B142" s="53"/>
      <c r="C142" s="54"/>
      <c r="D142" s="54"/>
      <c r="E142" s="55"/>
      <c r="F142" s="53"/>
      <c r="G142" s="53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6"/>
    </row>
    <row r="143" spans="1:19" ht="15.75" customHeight="1" x14ac:dyDescent="0.25">
      <c r="A143" s="54"/>
      <c r="B143" s="53"/>
      <c r="C143" s="54"/>
      <c r="D143" s="54"/>
      <c r="E143" s="55"/>
      <c r="F143" s="53"/>
      <c r="G143" s="53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6"/>
    </row>
    <row r="144" spans="1:19" ht="15.75" customHeight="1" x14ac:dyDescent="0.25">
      <c r="A144" s="54"/>
      <c r="B144" s="53"/>
      <c r="C144" s="54"/>
      <c r="D144" s="54"/>
      <c r="E144" s="55"/>
      <c r="F144" s="53"/>
      <c r="G144" s="53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6"/>
    </row>
    <row r="145" spans="1:19" ht="15.75" customHeight="1" x14ac:dyDescent="0.25">
      <c r="A145" s="54"/>
      <c r="B145" s="53"/>
      <c r="C145" s="54"/>
      <c r="D145" s="54"/>
      <c r="E145" s="55"/>
      <c r="F145" s="53"/>
      <c r="G145" s="53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6"/>
    </row>
    <row r="146" spans="1:19" ht="15.75" customHeight="1" x14ac:dyDescent="0.25">
      <c r="A146" s="54"/>
      <c r="B146" s="53"/>
      <c r="C146" s="54"/>
      <c r="D146" s="54"/>
      <c r="E146" s="55"/>
      <c r="F146" s="53"/>
      <c r="G146" s="53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6"/>
    </row>
    <row r="147" spans="1:19" ht="15.75" customHeight="1" x14ac:dyDescent="0.25">
      <c r="A147" s="54"/>
      <c r="B147" s="53"/>
      <c r="C147" s="54"/>
      <c r="D147" s="54"/>
      <c r="E147" s="55"/>
      <c r="F147" s="53"/>
      <c r="G147" s="53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6"/>
    </row>
    <row r="148" spans="1:19" ht="15.75" customHeight="1" x14ac:dyDescent="0.25">
      <c r="A148" s="54"/>
      <c r="B148" s="53"/>
      <c r="C148" s="54"/>
      <c r="D148" s="54"/>
      <c r="E148" s="55"/>
      <c r="F148" s="53"/>
      <c r="G148" s="53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6"/>
    </row>
    <row r="149" spans="1:19" ht="15.75" customHeight="1" x14ac:dyDescent="0.25">
      <c r="A149" s="54"/>
      <c r="B149" s="53"/>
      <c r="C149" s="54"/>
      <c r="D149" s="54"/>
      <c r="E149" s="55"/>
      <c r="F149" s="53"/>
      <c r="G149" s="53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6"/>
    </row>
    <row r="150" spans="1:19" ht="15.75" customHeight="1" x14ac:dyDescent="0.25">
      <c r="A150" s="54"/>
      <c r="B150" s="53"/>
      <c r="C150" s="54"/>
      <c r="D150" s="54"/>
      <c r="E150" s="55"/>
      <c r="F150" s="53"/>
      <c r="G150" s="53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6"/>
    </row>
    <row r="151" spans="1:19" ht="15.75" customHeight="1" x14ac:dyDescent="0.25">
      <c r="A151" s="54"/>
      <c r="B151" s="53"/>
      <c r="C151" s="54"/>
      <c r="D151" s="54"/>
      <c r="E151" s="55"/>
      <c r="F151" s="53"/>
      <c r="G151" s="53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6"/>
    </row>
    <row r="152" spans="1:19" ht="15.75" customHeight="1" x14ac:dyDescent="0.25">
      <c r="A152" s="54"/>
      <c r="B152" s="53"/>
      <c r="C152" s="54"/>
      <c r="D152" s="54"/>
      <c r="E152" s="55"/>
      <c r="F152" s="53"/>
      <c r="G152" s="53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6"/>
    </row>
    <row r="153" spans="1:19" ht="15.75" customHeight="1" x14ac:dyDescent="0.25">
      <c r="A153" s="54"/>
      <c r="B153" s="53"/>
      <c r="C153" s="54"/>
      <c r="D153" s="54"/>
      <c r="E153" s="55"/>
      <c r="F153" s="53"/>
      <c r="G153" s="53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6"/>
    </row>
    <row r="154" spans="1:19" ht="15.75" customHeight="1" x14ac:dyDescent="0.25">
      <c r="A154" s="54"/>
      <c r="B154" s="53"/>
      <c r="C154" s="54"/>
      <c r="D154" s="54"/>
      <c r="E154" s="55"/>
      <c r="F154" s="53"/>
      <c r="G154" s="53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6"/>
    </row>
    <row r="155" spans="1:19" ht="15.75" customHeight="1" x14ac:dyDescent="0.25">
      <c r="A155" s="54"/>
      <c r="B155" s="53"/>
      <c r="C155" s="54"/>
      <c r="D155" s="54"/>
      <c r="E155" s="55"/>
      <c r="F155" s="53"/>
      <c r="G155" s="53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6"/>
    </row>
    <row r="156" spans="1:19" ht="15.75" customHeight="1" x14ac:dyDescent="0.25">
      <c r="A156" s="54"/>
      <c r="B156" s="53"/>
      <c r="C156" s="54"/>
      <c r="D156" s="54"/>
      <c r="E156" s="55"/>
      <c r="F156" s="53"/>
      <c r="G156" s="53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6"/>
    </row>
    <row r="157" spans="1:19" ht="15.75" customHeight="1" x14ac:dyDescent="0.25">
      <c r="A157" s="54"/>
      <c r="B157" s="53"/>
      <c r="C157" s="54"/>
      <c r="D157" s="54"/>
      <c r="E157" s="55"/>
      <c r="F157" s="53"/>
      <c r="G157" s="53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6"/>
    </row>
    <row r="158" spans="1:19" ht="15.75" customHeight="1" x14ac:dyDescent="0.25">
      <c r="A158" s="54"/>
      <c r="B158" s="53"/>
      <c r="C158" s="54"/>
      <c r="D158" s="54"/>
      <c r="E158" s="55"/>
      <c r="F158" s="53"/>
      <c r="G158" s="53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6"/>
    </row>
    <row r="159" spans="1:19" ht="15.75" customHeight="1" x14ac:dyDescent="0.25">
      <c r="A159" s="54"/>
      <c r="B159" s="53"/>
      <c r="C159" s="54"/>
      <c r="D159" s="54"/>
      <c r="E159" s="55"/>
      <c r="F159" s="53"/>
      <c r="G159" s="53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6"/>
    </row>
    <row r="160" spans="1:19" ht="15.75" customHeight="1" x14ac:dyDescent="0.25">
      <c r="A160" s="54"/>
      <c r="B160" s="53"/>
      <c r="C160" s="54"/>
      <c r="D160" s="54"/>
      <c r="E160" s="55"/>
      <c r="F160" s="53"/>
      <c r="G160" s="53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6"/>
    </row>
    <row r="161" spans="1:19" ht="15.75" customHeight="1" x14ac:dyDescent="0.25">
      <c r="A161" s="54"/>
      <c r="B161" s="53"/>
      <c r="C161" s="54"/>
      <c r="D161" s="54"/>
      <c r="E161" s="55"/>
      <c r="F161" s="53"/>
      <c r="G161" s="53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6"/>
    </row>
    <row r="162" spans="1:19" ht="15.75" customHeight="1" x14ac:dyDescent="0.25">
      <c r="A162" s="54"/>
      <c r="B162" s="53"/>
      <c r="C162" s="54"/>
      <c r="D162" s="54"/>
      <c r="E162" s="55"/>
      <c r="F162" s="53"/>
      <c r="G162" s="53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6"/>
    </row>
    <row r="163" spans="1:19" ht="15.75" customHeight="1" x14ac:dyDescent="0.25">
      <c r="A163" s="54"/>
      <c r="B163" s="53"/>
      <c r="C163" s="54"/>
      <c r="D163" s="54"/>
      <c r="E163" s="55"/>
      <c r="F163" s="53"/>
      <c r="G163" s="53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6"/>
    </row>
    <row r="164" spans="1:19" ht="15.75" customHeight="1" x14ac:dyDescent="0.25">
      <c r="A164" s="54"/>
      <c r="B164" s="53"/>
      <c r="C164" s="54"/>
      <c r="D164" s="54"/>
      <c r="E164" s="55"/>
      <c r="F164" s="53"/>
      <c r="G164" s="53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6"/>
    </row>
    <row r="165" spans="1:19" ht="15.75" customHeight="1" x14ac:dyDescent="0.25">
      <c r="A165" s="54"/>
      <c r="B165" s="53"/>
      <c r="C165" s="54"/>
      <c r="D165" s="54"/>
      <c r="E165" s="55"/>
      <c r="F165" s="53"/>
      <c r="G165" s="53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6"/>
    </row>
    <row r="166" spans="1:19" ht="15.75" customHeight="1" x14ac:dyDescent="0.25">
      <c r="A166" s="54"/>
      <c r="B166" s="53"/>
      <c r="C166" s="54"/>
      <c r="D166" s="54"/>
      <c r="E166" s="55"/>
      <c r="F166" s="53"/>
      <c r="G166" s="53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6"/>
    </row>
    <row r="167" spans="1:19" ht="15.75" customHeight="1" x14ac:dyDescent="0.25">
      <c r="A167" s="54"/>
      <c r="B167" s="53"/>
      <c r="C167" s="54"/>
      <c r="D167" s="54"/>
      <c r="E167" s="55"/>
      <c r="F167" s="53"/>
      <c r="G167" s="53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6"/>
    </row>
    <row r="168" spans="1:19" ht="15.75" customHeight="1" x14ac:dyDescent="0.25">
      <c r="A168" s="54"/>
      <c r="B168" s="53"/>
      <c r="C168" s="54"/>
      <c r="D168" s="54"/>
      <c r="E168" s="55"/>
      <c r="F168" s="53"/>
      <c r="G168" s="53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6"/>
    </row>
    <row r="169" spans="1:19" ht="15.75" customHeight="1" x14ac:dyDescent="0.25">
      <c r="A169" s="54"/>
      <c r="B169" s="53"/>
      <c r="C169" s="54"/>
      <c r="D169" s="54"/>
      <c r="E169" s="55"/>
      <c r="F169" s="53"/>
      <c r="G169" s="53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6"/>
    </row>
    <row r="170" spans="1:19" ht="15.75" customHeight="1" x14ac:dyDescent="0.25">
      <c r="A170" s="54"/>
      <c r="B170" s="53"/>
      <c r="C170" s="54"/>
      <c r="D170" s="54"/>
      <c r="E170" s="55"/>
      <c r="F170" s="53"/>
      <c r="G170" s="53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6"/>
    </row>
    <row r="171" spans="1:19" ht="15.75" customHeight="1" x14ac:dyDescent="0.25">
      <c r="A171" s="54"/>
      <c r="B171" s="53"/>
      <c r="C171" s="54"/>
      <c r="D171" s="54"/>
      <c r="E171" s="55"/>
      <c r="F171" s="53"/>
      <c r="G171" s="53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6"/>
    </row>
    <row r="172" spans="1:19" ht="15.75" customHeight="1" x14ac:dyDescent="0.25">
      <c r="A172" s="54"/>
      <c r="B172" s="53"/>
      <c r="C172" s="54"/>
      <c r="D172" s="54"/>
      <c r="E172" s="55"/>
      <c r="F172" s="53"/>
      <c r="G172" s="53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6"/>
    </row>
    <row r="173" spans="1:19" ht="15.75" customHeight="1" x14ac:dyDescent="0.25">
      <c r="A173" s="54"/>
      <c r="B173" s="53"/>
      <c r="C173" s="54"/>
      <c r="D173" s="54"/>
      <c r="E173" s="55"/>
      <c r="F173" s="53"/>
      <c r="G173" s="53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6"/>
    </row>
    <row r="174" spans="1:19" ht="15.75" customHeight="1" x14ac:dyDescent="0.25">
      <c r="A174" s="54"/>
      <c r="B174" s="53"/>
      <c r="C174" s="54"/>
      <c r="D174" s="54"/>
      <c r="E174" s="55"/>
      <c r="F174" s="53"/>
      <c r="G174" s="53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6"/>
    </row>
    <row r="175" spans="1:19" ht="15.75" customHeight="1" x14ac:dyDescent="0.25">
      <c r="A175" s="54"/>
      <c r="B175" s="53"/>
      <c r="C175" s="54"/>
      <c r="D175" s="54"/>
      <c r="E175" s="55"/>
      <c r="F175" s="53"/>
      <c r="G175" s="53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6"/>
    </row>
    <row r="176" spans="1:19" ht="15.75" customHeight="1" x14ac:dyDescent="0.25">
      <c r="A176" s="54"/>
      <c r="B176" s="53"/>
      <c r="C176" s="54"/>
      <c r="D176" s="54"/>
      <c r="E176" s="55"/>
      <c r="F176" s="53"/>
      <c r="G176" s="53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6"/>
    </row>
    <row r="177" spans="1:19" ht="15.75" customHeight="1" x14ac:dyDescent="0.25">
      <c r="A177" s="54"/>
      <c r="B177" s="53"/>
      <c r="C177" s="54"/>
      <c r="D177" s="54"/>
      <c r="E177" s="55"/>
      <c r="F177" s="53"/>
      <c r="G177" s="53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6"/>
    </row>
    <row r="178" spans="1:19" ht="15.75" customHeight="1" x14ac:dyDescent="0.25">
      <c r="A178" s="54"/>
      <c r="B178" s="53"/>
      <c r="C178" s="54"/>
      <c r="D178" s="54"/>
      <c r="E178" s="55"/>
      <c r="F178" s="53"/>
      <c r="G178" s="53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6"/>
    </row>
    <row r="179" spans="1:19" ht="15.75" customHeight="1" x14ac:dyDescent="0.25">
      <c r="A179" s="54"/>
      <c r="B179" s="53"/>
      <c r="C179" s="54"/>
      <c r="D179" s="54"/>
      <c r="E179" s="55"/>
      <c r="F179" s="53"/>
      <c r="G179" s="53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6"/>
    </row>
    <row r="180" spans="1:19" ht="15.75" customHeight="1" x14ac:dyDescent="0.25">
      <c r="A180" s="54"/>
      <c r="B180" s="53"/>
      <c r="C180" s="54"/>
      <c r="D180" s="54"/>
      <c r="E180" s="55"/>
      <c r="F180" s="53"/>
      <c r="G180" s="53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6"/>
    </row>
    <row r="181" spans="1:19" ht="15.75" customHeight="1" x14ac:dyDescent="0.25">
      <c r="A181" s="54"/>
      <c r="B181" s="53"/>
      <c r="C181" s="54"/>
      <c r="D181" s="54"/>
      <c r="E181" s="55"/>
      <c r="F181" s="53"/>
      <c r="G181" s="53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6"/>
    </row>
    <row r="182" spans="1:19" ht="15.75" customHeight="1" x14ac:dyDescent="0.25">
      <c r="A182" s="54"/>
      <c r="B182" s="53"/>
      <c r="C182" s="54"/>
      <c r="D182" s="54"/>
      <c r="E182" s="55"/>
      <c r="F182" s="53"/>
      <c r="G182" s="53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6"/>
    </row>
    <row r="183" spans="1:19" ht="15.75" customHeight="1" x14ac:dyDescent="0.25">
      <c r="A183" s="54"/>
      <c r="B183" s="53"/>
      <c r="C183" s="54"/>
      <c r="D183" s="54"/>
      <c r="E183" s="55"/>
      <c r="F183" s="53"/>
      <c r="G183" s="53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6"/>
    </row>
    <row r="184" spans="1:19" ht="15.75" customHeight="1" x14ac:dyDescent="0.25">
      <c r="A184" s="54"/>
      <c r="B184" s="53"/>
      <c r="C184" s="54"/>
      <c r="D184" s="54"/>
      <c r="E184" s="55"/>
      <c r="F184" s="53"/>
      <c r="G184" s="53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6"/>
    </row>
    <row r="185" spans="1:19" ht="15.75" customHeight="1" x14ac:dyDescent="0.25">
      <c r="A185" s="54"/>
      <c r="B185" s="53"/>
      <c r="C185" s="54"/>
      <c r="D185" s="54"/>
      <c r="E185" s="55"/>
      <c r="F185" s="53"/>
      <c r="G185" s="53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6"/>
    </row>
    <row r="186" spans="1:19" ht="15.75" customHeight="1" x14ac:dyDescent="0.25">
      <c r="A186" s="54"/>
      <c r="B186" s="53"/>
      <c r="C186" s="54"/>
      <c r="D186" s="54"/>
      <c r="E186" s="55"/>
      <c r="F186" s="53"/>
      <c r="G186" s="53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6"/>
    </row>
    <row r="187" spans="1:19" ht="15.75" customHeight="1" x14ac:dyDescent="0.25">
      <c r="A187" s="54"/>
      <c r="B187" s="53"/>
      <c r="C187" s="54"/>
      <c r="D187" s="54"/>
      <c r="E187" s="55"/>
      <c r="F187" s="53"/>
      <c r="G187" s="53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6"/>
    </row>
    <row r="188" spans="1:19" ht="15.75" customHeight="1" x14ac:dyDescent="0.25">
      <c r="A188" s="54"/>
      <c r="B188" s="53"/>
      <c r="C188" s="54"/>
      <c r="D188" s="54"/>
      <c r="E188" s="55"/>
      <c r="F188" s="53"/>
      <c r="G188" s="53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6"/>
    </row>
    <row r="189" spans="1:19" ht="15.75" customHeight="1" x14ac:dyDescent="0.25">
      <c r="A189" s="54"/>
      <c r="B189" s="53"/>
      <c r="C189" s="54"/>
      <c r="D189" s="54"/>
      <c r="E189" s="55"/>
      <c r="F189" s="53"/>
      <c r="G189" s="53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6"/>
    </row>
    <row r="190" spans="1:19" ht="15.75" customHeight="1" x14ac:dyDescent="0.25">
      <c r="A190" s="54"/>
      <c r="B190" s="53"/>
      <c r="C190" s="54"/>
      <c r="D190" s="54"/>
      <c r="E190" s="55"/>
      <c r="F190" s="53"/>
      <c r="G190" s="53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6"/>
    </row>
    <row r="191" spans="1:19" ht="15.75" customHeight="1" x14ac:dyDescent="0.25">
      <c r="A191" s="54"/>
      <c r="B191" s="53"/>
      <c r="C191" s="54"/>
      <c r="D191" s="54"/>
      <c r="E191" s="55"/>
      <c r="F191" s="53"/>
      <c r="G191" s="53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6"/>
    </row>
    <row r="192" spans="1:19" ht="15.75" customHeight="1" x14ac:dyDescent="0.25">
      <c r="A192" s="54"/>
      <c r="B192" s="53"/>
      <c r="C192" s="54"/>
      <c r="D192" s="54"/>
      <c r="E192" s="55"/>
      <c r="F192" s="53"/>
      <c r="G192" s="53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6"/>
    </row>
    <row r="193" spans="1:19" ht="15.75" customHeight="1" x14ac:dyDescent="0.25">
      <c r="A193" s="54"/>
      <c r="B193" s="53"/>
      <c r="C193" s="54"/>
      <c r="D193" s="54"/>
      <c r="E193" s="55"/>
      <c r="F193" s="53"/>
      <c r="G193" s="53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6"/>
    </row>
    <row r="194" spans="1:19" ht="15.75" customHeight="1" x14ac:dyDescent="0.25">
      <c r="A194" s="54"/>
      <c r="B194" s="53"/>
      <c r="C194" s="54"/>
      <c r="D194" s="54"/>
      <c r="E194" s="55"/>
      <c r="F194" s="53"/>
      <c r="G194" s="53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6"/>
    </row>
    <row r="195" spans="1:19" ht="15.75" customHeight="1" x14ac:dyDescent="0.25">
      <c r="A195" s="54"/>
      <c r="B195" s="53"/>
      <c r="C195" s="54"/>
      <c r="D195" s="54"/>
      <c r="E195" s="55"/>
      <c r="F195" s="53"/>
      <c r="G195" s="53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6"/>
    </row>
    <row r="196" spans="1:19" ht="15.75" customHeight="1" x14ac:dyDescent="0.25">
      <c r="A196" s="54"/>
      <c r="B196" s="53"/>
      <c r="C196" s="54"/>
      <c r="D196" s="54"/>
      <c r="E196" s="55"/>
      <c r="F196" s="53"/>
      <c r="G196" s="53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6"/>
    </row>
    <row r="197" spans="1:19" ht="15.75" customHeight="1" x14ac:dyDescent="0.25">
      <c r="A197" s="54"/>
      <c r="B197" s="53"/>
      <c r="C197" s="54"/>
      <c r="D197" s="54"/>
      <c r="E197" s="55"/>
      <c r="F197" s="53"/>
      <c r="G197" s="53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6"/>
    </row>
    <row r="198" spans="1:19" ht="15.75" customHeight="1" x14ac:dyDescent="0.25">
      <c r="A198" s="54"/>
      <c r="B198" s="53"/>
      <c r="C198" s="54"/>
      <c r="D198" s="54"/>
      <c r="E198" s="55"/>
      <c r="F198" s="53"/>
      <c r="G198" s="53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6"/>
    </row>
    <row r="199" spans="1:19" ht="15.75" customHeight="1" x14ac:dyDescent="0.25">
      <c r="A199" s="54"/>
      <c r="B199" s="53"/>
      <c r="C199" s="54"/>
      <c r="D199" s="54"/>
      <c r="E199" s="55"/>
      <c r="F199" s="53"/>
      <c r="G199" s="53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6"/>
    </row>
    <row r="200" spans="1:19" ht="15.75" customHeight="1" x14ac:dyDescent="0.25">
      <c r="A200" s="54"/>
      <c r="B200" s="53"/>
      <c r="C200" s="54"/>
      <c r="D200" s="54"/>
      <c r="E200" s="55"/>
      <c r="F200" s="53"/>
      <c r="G200" s="53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6"/>
    </row>
    <row r="201" spans="1:19" ht="15.75" customHeight="1" x14ac:dyDescent="0.25">
      <c r="A201" s="54"/>
      <c r="B201" s="53"/>
      <c r="C201" s="54"/>
      <c r="D201" s="54"/>
      <c r="E201" s="55"/>
      <c r="F201" s="53"/>
      <c r="G201" s="53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6"/>
    </row>
    <row r="202" spans="1:19" ht="15.75" customHeight="1" x14ac:dyDescent="0.25">
      <c r="A202" s="54"/>
      <c r="B202" s="53"/>
      <c r="C202" s="54"/>
      <c r="D202" s="54"/>
      <c r="E202" s="55"/>
      <c r="F202" s="53"/>
      <c r="G202" s="53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6"/>
    </row>
    <row r="203" spans="1:19" ht="15.75" customHeight="1" x14ac:dyDescent="0.25">
      <c r="A203" s="54"/>
      <c r="B203" s="53"/>
      <c r="C203" s="54"/>
      <c r="D203" s="54"/>
      <c r="E203" s="55"/>
      <c r="F203" s="53"/>
      <c r="G203" s="53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6"/>
    </row>
    <row r="204" spans="1:19" ht="15.75" customHeight="1" x14ac:dyDescent="0.25">
      <c r="A204" s="54"/>
      <c r="B204" s="53"/>
      <c r="C204" s="54"/>
      <c r="D204" s="54"/>
      <c r="E204" s="55"/>
      <c r="F204" s="53"/>
      <c r="G204" s="53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6"/>
    </row>
    <row r="205" spans="1:19" ht="15.75" customHeight="1" x14ac:dyDescent="0.25">
      <c r="A205" s="54"/>
      <c r="B205" s="53"/>
      <c r="C205" s="54"/>
      <c r="D205" s="54"/>
      <c r="E205" s="55"/>
      <c r="F205" s="53"/>
      <c r="G205" s="53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6"/>
    </row>
    <row r="206" spans="1:19" ht="15.75" customHeight="1" x14ac:dyDescent="0.25">
      <c r="A206" s="54"/>
      <c r="B206" s="53"/>
      <c r="C206" s="54"/>
      <c r="D206" s="54"/>
      <c r="E206" s="55"/>
      <c r="F206" s="53"/>
      <c r="G206" s="53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6"/>
    </row>
    <row r="207" spans="1:19" ht="15.75" customHeight="1" x14ac:dyDescent="0.25">
      <c r="A207" s="54"/>
      <c r="B207" s="53"/>
      <c r="C207" s="54"/>
      <c r="D207" s="54"/>
      <c r="E207" s="55"/>
      <c r="F207" s="53"/>
      <c r="G207" s="53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6"/>
    </row>
    <row r="208" spans="1:19" ht="15.75" customHeight="1" x14ac:dyDescent="0.25">
      <c r="A208" s="54"/>
      <c r="B208" s="53"/>
      <c r="C208" s="54"/>
      <c r="D208" s="54"/>
      <c r="E208" s="55"/>
      <c r="F208" s="53"/>
      <c r="G208" s="53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6"/>
    </row>
    <row r="209" spans="1:19" ht="15.75" customHeight="1" x14ac:dyDescent="0.25">
      <c r="A209" s="54"/>
      <c r="B209" s="53"/>
      <c r="C209" s="54"/>
      <c r="D209" s="54"/>
      <c r="E209" s="55"/>
      <c r="F209" s="53"/>
      <c r="G209" s="53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6"/>
    </row>
    <row r="210" spans="1:19" ht="15.75" customHeight="1" x14ac:dyDescent="0.25">
      <c r="A210" s="54"/>
      <c r="B210" s="53"/>
      <c r="C210" s="54"/>
      <c r="D210" s="54"/>
      <c r="E210" s="55"/>
      <c r="F210" s="53"/>
      <c r="G210" s="53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6"/>
    </row>
    <row r="211" spans="1:19" ht="15.75" customHeight="1" x14ac:dyDescent="0.25">
      <c r="A211" s="54"/>
      <c r="B211" s="53"/>
      <c r="C211" s="54"/>
      <c r="D211" s="54"/>
      <c r="E211" s="55"/>
      <c r="F211" s="53"/>
      <c r="G211" s="53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6"/>
    </row>
    <row r="212" spans="1:19" ht="15.75" customHeight="1" x14ac:dyDescent="0.25">
      <c r="A212" s="54"/>
      <c r="B212" s="53"/>
      <c r="C212" s="54"/>
      <c r="D212" s="54"/>
      <c r="E212" s="55"/>
      <c r="F212" s="53"/>
      <c r="G212" s="53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6"/>
    </row>
    <row r="213" spans="1:19" ht="15.75" customHeight="1" x14ac:dyDescent="0.25">
      <c r="A213" s="54"/>
      <c r="B213" s="53"/>
      <c r="C213" s="54"/>
      <c r="D213" s="54"/>
      <c r="E213" s="55"/>
      <c r="F213" s="53"/>
      <c r="G213" s="53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6"/>
    </row>
    <row r="214" spans="1:19" ht="15.75" customHeight="1" x14ac:dyDescent="0.25">
      <c r="A214" s="54"/>
      <c r="B214" s="53"/>
      <c r="C214" s="54"/>
      <c r="D214" s="54"/>
      <c r="E214" s="55"/>
      <c r="F214" s="53"/>
      <c r="G214" s="53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6"/>
    </row>
    <row r="215" spans="1:19" ht="15.75" customHeight="1" x14ac:dyDescent="0.25">
      <c r="A215" s="54"/>
      <c r="B215" s="53"/>
      <c r="C215" s="54"/>
      <c r="D215" s="54"/>
      <c r="E215" s="55"/>
      <c r="F215" s="53"/>
      <c r="G215" s="53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6"/>
    </row>
    <row r="216" spans="1:19" ht="15.75" customHeight="1" x14ac:dyDescent="0.25">
      <c r="A216" s="54"/>
      <c r="B216" s="53"/>
      <c r="C216" s="54"/>
      <c r="D216" s="54"/>
      <c r="E216" s="55"/>
      <c r="F216" s="53"/>
      <c r="G216" s="53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6"/>
    </row>
    <row r="217" spans="1:19" ht="15.75" customHeight="1" x14ac:dyDescent="0.25">
      <c r="A217" s="54"/>
      <c r="B217" s="53"/>
      <c r="C217" s="54"/>
      <c r="D217" s="54"/>
      <c r="E217" s="55"/>
      <c r="F217" s="53"/>
      <c r="G217" s="53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6"/>
    </row>
    <row r="218" spans="1:19" ht="15.75" customHeight="1" x14ac:dyDescent="0.25">
      <c r="A218" s="54"/>
      <c r="B218" s="53"/>
      <c r="C218" s="54"/>
      <c r="D218" s="54"/>
      <c r="E218" s="55"/>
      <c r="F218" s="53"/>
      <c r="G218" s="53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6"/>
    </row>
    <row r="219" spans="1:19" ht="15.75" customHeight="1" x14ac:dyDescent="0.25">
      <c r="A219" s="54"/>
      <c r="B219" s="53"/>
      <c r="C219" s="54"/>
      <c r="D219" s="54"/>
      <c r="E219" s="55"/>
      <c r="F219" s="53"/>
      <c r="G219" s="53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6"/>
    </row>
    <row r="220" spans="1:19" ht="15.75" customHeight="1" x14ac:dyDescent="0.25">
      <c r="A220" s="54"/>
      <c r="B220" s="53"/>
      <c r="C220" s="54"/>
      <c r="D220" s="54"/>
      <c r="E220" s="55"/>
      <c r="F220" s="53"/>
      <c r="G220" s="53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6"/>
    </row>
    <row r="221" spans="1:19" ht="15.75" customHeight="1" x14ac:dyDescent="0.25">
      <c r="A221" s="54"/>
      <c r="B221" s="53"/>
      <c r="C221" s="54"/>
      <c r="D221" s="54"/>
      <c r="E221" s="55"/>
      <c r="F221" s="53"/>
      <c r="G221" s="53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6"/>
    </row>
    <row r="222" spans="1:19" ht="15.75" customHeight="1" x14ac:dyDescent="0.25">
      <c r="A222" s="54"/>
      <c r="B222" s="53"/>
      <c r="C222" s="54"/>
      <c r="D222" s="54"/>
      <c r="E222" s="55"/>
      <c r="F222" s="53"/>
      <c r="G222" s="53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6"/>
    </row>
    <row r="223" spans="1:19" ht="15.75" customHeight="1" x14ac:dyDescent="0.25">
      <c r="A223" s="54"/>
      <c r="B223" s="53"/>
      <c r="C223" s="54"/>
      <c r="D223" s="54"/>
      <c r="E223" s="55"/>
      <c r="F223" s="53"/>
      <c r="G223" s="53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6"/>
    </row>
    <row r="224" spans="1:19" ht="15.75" customHeight="1" x14ac:dyDescent="0.25">
      <c r="A224" s="54"/>
      <c r="B224" s="53"/>
      <c r="C224" s="54"/>
      <c r="D224" s="54"/>
      <c r="E224" s="55"/>
      <c r="F224" s="53"/>
      <c r="G224" s="53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6"/>
    </row>
    <row r="225" spans="1:19" ht="15.75" customHeight="1" x14ac:dyDescent="0.25">
      <c r="A225" s="54"/>
      <c r="B225" s="53"/>
      <c r="C225" s="54"/>
      <c r="D225" s="54"/>
      <c r="E225" s="55"/>
      <c r="F225" s="53"/>
      <c r="G225" s="53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6"/>
    </row>
    <row r="226" spans="1:19" ht="15.75" customHeight="1" x14ac:dyDescent="0.25">
      <c r="A226" s="54"/>
      <c r="B226" s="53"/>
      <c r="C226" s="54"/>
      <c r="D226" s="54"/>
      <c r="E226" s="55"/>
      <c r="F226" s="53"/>
      <c r="G226" s="53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6"/>
    </row>
    <row r="227" spans="1:19" ht="15.75" customHeight="1" x14ac:dyDescent="0.25">
      <c r="A227" s="54"/>
      <c r="B227" s="53"/>
      <c r="C227" s="54"/>
      <c r="D227" s="54"/>
      <c r="E227" s="55"/>
      <c r="F227" s="53"/>
      <c r="G227" s="53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6"/>
    </row>
    <row r="228" spans="1:19" ht="15.75" customHeight="1" x14ac:dyDescent="0.25">
      <c r="A228" s="54"/>
      <c r="B228" s="53"/>
      <c r="C228" s="54"/>
      <c r="D228" s="54"/>
      <c r="E228" s="55"/>
      <c r="F228" s="53"/>
      <c r="G228" s="53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6"/>
    </row>
    <row r="229" spans="1:19" ht="15.75" customHeight="1" x14ac:dyDescent="0.25">
      <c r="A229" s="54"/>
      <c r="B229" s="53"/>
      <c r="C229" s="54"/>
      <c r="D229" s="54"/>
      <c r="E229" s="55"/>
      <c r="F229" s="53"/>
      <c r="G229" s="53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6"/>
    </row>
    <row r="230" spans="1:19" ht="15.75" customHeight="1" x14ac:dyDescent="0.25">
      <c r="A230" s="54"/>
      <c r="B230" s="53"/>
      <c r="C230" s="54"/>
      <c r="D230" s="54"/>
      <c r="E230" s="55"/>
      <c r="F230" s="53"/>
      <c r="G230" s="53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6"/>
    </row>
    <row r="231" spans="1:19" ht="15.75" customHeight="1" x14ac:dyDescent="0.25">
      <c r="A231" s="54"/>
      <c r="B231" s="53"/>
      <c r="C231" s="54"/>
      <c r="D231" s="54"/>
      <c r="E231" s="55"/>
      <c r="F231" s="53"/>
      <c r="G231" s="53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6"/>
    </row>
    <row r="232" spans="1:19" ht="15.75" customHeight="1" x14ac:dyDescent="0.25">
      <c r="A232" s="54"/>
      <c r="B232" s="53"/>
      <c r="C232" s="54"/>
      <c r="D232" s="54"/>
      <c r="E232" s="55"/>
      <c r="F232" s="53"/>
      <c r="G232" s="53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6"/>
    </row>
    <row r="233" spans="1:19" ht="15.75" customHeight="1" x14ac:dyDescent="0.25">
      <c r="A233" s="54"/>
      <c r="B233" s="53"/>
      <c r="C233" s="54"/>
      <c r="D233" s="54"/>
      <c r="E233" s="55"/>
      <c r="F233" s="53"/>
      <c r="G233" s="53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6"/>
    </row>
    <row r="234" spans="1:19" ht="15.75" customHeight="1" x14ac:dyDescent="0.25">
      <c r="A234" s="54"/>
      <c r="B234" s="53"/>
      <c r="C234" s="54"/>
      <c r="D234" s="54"/>
      <c r="E234" s="55"/>
      <c r="F234" s="53"/>
      <c r="G234" s="53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6"/>
    </row>
    <row r="235" spans="1:19" ht="15.75" customHeight="1" x14ac:dyDescent="0.25">
      <c r="A235" s="54"/>
      <c r="B235" s="53"/>
      <c r="C235" s="54"/>
      <c r="D235" s="54"/>
      <c r="E235" s="55"/>
      <c r="F235" s="53"/>
      <c r="G235" s="53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6"/>
    </row>
    <row r="236" spans="1:19" ht="15.75" customHeight="1" x14ac:dyDescent="0.25">
      <c r="A236" s="54"/>
      <c r="B236" s="53"/>
      <c r="C236" s="54"/>
      <c r="D236" s="54"/>
      <c r="E236" s="55"/>
      <c r="F236" s="53"/>
      <c r="G236" s="53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6"/>
    </row>
    <row r="237" spans="1:19" ht="15.75" customHeight="1" x14ac:dyDescent="0.25">
      <c r="A237" s="54"/>
      <c r="B237" s="53"/>
      <c r="C237" s="54"/>
      <c r="D237" s="54"/>
      <c r="E237" s="55"/>
      <c r="F237" s="53"/>
      <c r="G237" s="53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6"/>
    </row>
    <row r="238" spans="1:19" ht="15.75" customHeight="1" x14ac:dyDescent="0.25">
      <c r="A238" s="54"/>
      <c r="B238" s="53"/>
      <c r="C238" s="54"/>
      <c r="D238" s="54"/>
      <c r="E238" s="55"/>
      <c r="F238" s="53"/>
      <c r="G238" s="53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6"/>
    </row>
    <row r="239" spans="1:19" ht="15.75" customHeight="1" x14ac:dyDescent="0.25">
      <c r="A239" s="54"/>
      <c r="B239" s="53"/>
      <c r="C239" s="54"/>
      <c r="D239" s="54"/>
      <c r="E239" s="55"/>
      <c r="F239" s="53"/>
      <c r="G239" s="53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6"/>
    </row>
    <row r="240" spans="1:19" ht="15.75" customHeight="1" x14ac:dyDescent="0.25">
      <c r="A240" s="54"/>
      <c r="B240" s="53"/>
      <c r="C240" s="54"/>
      <c r="D240" s="54"/>
      <c r="E240" s="55"/>
      <c r="F240" s="53"/>
      <c r="G240" s="53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6"/>
    </row>
    <row r="241" spans="1:19" ht="15.75" customHeight="1" x14ac:dyDescent="0.25">
      <c r="A241" s="54"/>
      <c r="B241" s="53"/>
      <c r="C241" s="54"/>
      <c r="D241" s="54"/>
      <c r="E241" s="55"/>
      <c r="F241" s="53"/>
      <c r="G241" s="53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6"/>
    </row>
    <row r="242" spans="1:19" ht="15.75" customHeight="1" x14ac:dyDescent="0.25">
      <c r="A242" s="54"/>
      <c r="B242" s="53"/>
      <c r="C242" s="54"/>
      <c r="D242" s="54"/>
      <c r="E242" s="55"/>
      <c r="F242" s="53"/>
      <c r="G242" s="53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6"/>
    </row>
    <row r="243" spans="1:19" ht="15.75" customHeight="1" x14ac:dyDescent="0.25">
      <c r="A243" s="54"/>
      <c r="B243" s="53"/>
      <c r="C243" s="54"/>
      <c r="D243" s="54"/>
      <c r="E243" s="55"/>
      <c r="F243" s="53"/>
      <c r="G243" s="53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6"/>
    </row>
    <row r="244" spans="1:19" ht="15.75" customHeight="1" x14ac:dyDescent="0.25">
      <c r="A244" s="54"/>
      <c r="B244" s="53"/>
      <c r="C244" s="54"/>
      <c r="D244" s="54"/>
      <c r="E244" s="55"/>
      <c r="F244" s="53"/>
      <c r="G244" s="53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6"/>
    </row>
    <row r="245" spans="1:19" ht="15.75" customHeight="1" x14ac:dyDescent="0.25">
      <c r="A245" s="54"/>
      <c r="B245" s="53"/>
      <c r="C245" s="54"/>
      <c r="D245" s="54"/>
      <c r="E245" s="55"/>
      <c r="F245" s="53"/>
      <c r="G245" s="53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6"/>
    </row>
    <row r="246" spans="1:19" ht="15.75" customHeight="1" x14ac:dyDescent="0.25">
      <c r="A246" s="54"/>
      <c r="B246" s="53"/>
      <c r="C246" s="54"/>
      <c r="D246" s="54"/>
      <c r="E246" s="55"/>
      <c r="F246" s="53"/>
      <c r="G246" s="53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6"/>
    </row>
    <row r="247" spans="1:19" ht="15.75" customHeight="1" x14ac:dyDescent="0.25">
      <c r="A247" s="54"/>
      <c r="B247" s="53"/>
      <c r="C247" s="54"/>
      <c r="D247" s="54"/>
      <c r="E247" s="55"/>
      <c r="F247" s="53"/>
      <c r="G247" s="53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6"/>
    </row>
    <row r="248" spans="1:19" ht="15.75" customHeight="1" x14ac:dyDescent="0.25">
      <c r="A248" s="54"/>
      <c r="B248" s="53"/>
      <c r="C248" s="54"/>
      <c r="D248" s="54"/>
      <c r="E248" s="55"/>
      <c r="F248" s="53"/>
      <c r="G248" s="53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6"/>
    </row>
    <row r="249" spans="1:19" ht="15.75" customHeight="1" x14ac:dyDescent="0.25"/>
    <row r="250" spans="1:19" ht="15.75" customHeight="1" x14ac:dyDescent="0.25"/>
    <row r="251" spans="1:19" ht="15.75" customHeight="1" x14ac:dyDescent="0.25"/>
    <row r="252" spans="1:19" ht="15.75" customHeight="1" x14ac:dyDescent="0.25"/>
    <row r="253" spans="1:19" ht="15.75" customHeight="1" x14ac:dyDescent="0.25"/>
    <row r="254" spans="1:19" ht="15.75" customHeight="1" x14ac:dyDescent="0.25"/>
    <row r="255" spans="1:19" ht="15.75" customHeight="1" x14ac:dyDescent="0.25"/>
    <row r="256" spans="1:19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3">
    <mergeCell ref="C2:H2"/>
    <mergeCell ref="I2:N2"/>
    <mergeCell ref="O2:R2"/>
  </mergeCells>
  <hyperlinks>
    <hyperlink ref="B4" location="Ancla!A1" display="Ancla" xr:uid="{176E281F-9A41-4A0E-BBAF-188C527122C6}"/>
    <hyperlink ref="C4" location="Prep!A1" display="Prep" xr:uid="{82A75524-5891-460C-AC9D-6CB346079E85}"/>
    <hyperlink ref="D4" location="Embarazo!A1" display="Embarazo" xr:uid="{17B59EF2-B979-4DFD-82BC-84C75F01E839}"/>
    <hyperlink ref="E4" location="TNR!A1" display="TNR" xr:uid="{82DDAFA3-4149-4109-AD57-1057A0569249}"/>
    <hyperlink ref="F4" location="Inseg_TP!A1" display="Inseg_TP" xr:uid="{F8E9A0DC-4DD1-4F14-8FE5-942391C5D0BC}"/>
    <hyperlink ref="G4" location="Homicidios!A1" display="Homicidios" xr:uid="{4DEFF076-47BB-4E85-A95D-7900582130DC}"/>
    <hyperlink ref="H4" location="Brecha_lab!A1" display="Brecha_lab" xr:uid="{D6A2A65C-DC7F-4932-AECA-0B26297ACD35}"/>
    <hyperlink ref="I4" location="Brecha_ing!A1" display="Brecha_ing" xr:uid="{C8A5CA78-FBBD-4C9E-AF73-D3E17F17B269}"/>
    <hyperlink ref="J4" location="Informalidad!A1" display="Informalidad" xr:uid="{9FA1B447-B21F-4451-8563-945363D0C873}"/>
    <hyperlink ref="K4" location="Cuidados_inf!A1" display="Cuidados_inf" xr:uid="{02082B82-59D7-4982-A968-AB30FEA9643C}"/>
    <hyperlink ref="L4" location="Cuidados_adult!A1" display="Cuidados_adult" xr:uid="{72316EAB-C767-4BD4-9418-E88276387A17}"/>
    <hyperlink ref="M4" location="Paternidad!A1" display="Paternidad" xr:uid="{5404642D-29F7-40BE-A934-34DE1F81B868}"/>
    <hyperlink ref="N4" location="Del_sex!A1" display="Del_sex" xr:uid="{F1D71B32-0789-42B4-8494-8CE2305973DB}"/>
    <hyperlink ref="O4" location="Pob_lab!A1" display="Pob_lab" xr:uid="{6F176220-67DA-421D-A9D4-14485E2668E2}"/>
    <hyperlink ref="P4" location="Dep_eco!A1" display="Ind_eco" xr:uid="{93C0A42B-3160-4593-B9AC-CCD9BEDE6D24}"/>
    <hyperlink ref="Q4" location="Emp_form!A1" display="Emp_form" xr:uid="{EB9F8FFB-95DB-48D4-BE6E-D4E6404FBA30}"/>
    <hyperlink ref="R4" location="Vivienda!A1" display="Vivienda" xr:uid="{8219DEA5-1778-421E-8C3C-48E8E7A56C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3CBC-E138-45CA-9E95-16B8B660B76E}">
  <dimension ref="A1:F545"/>
  <sheetViews>
    <sheetView tabSelected="1" workbookViewId="0">
      <selection activeCell="A3" sqref="A3"/>
    </sheetView>
  </sheetViews>
  <sheetFormatPr baseColWidth="10" defaultRowHeight="15.6" x14ac:dyDescent="0.3"/>
  <cols>
    <col min="1" max="1" width="26.69921875" bestFit="1" customWidth="1"/>
    <col min="2" max="2" width="39.29687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t="s">
        <v>7</v>
      </c>
      <c r="B2" t="str">
        <f>TRIM(Indice2026!$I$3)</f>
        <v>Brecha de ingresos por género</v>
      </c>
      <c r="C2" s="59">
        <f>Indice2026!I13</f>
        <v>10.592206177325295</v>
      </c>
      <c r="D2" t="str">
        <f>TRIM(Indice2026!$I$5)</f>
        <v>Valor absoluto de la diferencia de ingresos mensuales promedio de hombres y mujeres dividida entre los ingresos mensuales promedio de los hombres</v>
      </c>
      <c r="E2" t="str">
        <f>TRIM(Indice2026!$I$6)</f>
        <v>Porcentaje</v>
      </c>
      <c r="F2" t="s">
        <v>141</v>
      </c>
    </row>
    <row r="3" spans="1:6" x14ac:dyDescent="0.3">
      <c r="A3" t="s">
        <v>12</v>
      </c>
      <c r="B3" t="str">
        <f>TRIM(Indice2026!$I$3)</f>
        <v>Brecha de ingresos por género</v>
      </c>
      <c r="C3" s="59">
        <f>Indice2026!I14</f>
        <v>11.059406568247711</v>
      </c>
      <c r="D3" t="str">
        <f>TRIM(Indice2026!$I$5)</f>
        <v>Valor absoluto de la diferencia de ingresos mensuales promedio de hombres y mujeres dividida entre los ingresos mensuales promedio de los hombres</v>
      </c>
      <c r="E3" t="str">
        <f>TRIM(Indice2026!$I$6)</f>
        <v>Porcentaje</v>
      </c>
      <c r="F3" t="s">
        <v>141</v>
      </c>
    </row>
    <row r="4" spans="1:6" x14ac:dyDescent="0.3">
      <c r="A4" t="s">
        <v>13</v>
      </c>
      <c r="B4" t="str">
        <f>TRIM(Indice2026!$I$3)</f>
        <v>Brecha de ingresos por género</v>
      </c>
      <c r="C4" s="59">
        <f>Indice2026!I15</f>
        <v>16.807657405365056</v>
      </c>
      <c r="D4" t="str">
        <f>TRIM(Indice2026!$I$5)</f>
        <v>Valor absoluto de la diferencia de ingresos mensuales promedio de hombres y mujeres dividida entre los ingresos mensuales promedio de los hombres</v>
      </c>
      <c r="E4" t="str">
        <f>TRIM(Indice2026!$I$6)</f>
        <v>Porcentaje</v>
      </c>
      <c r="F4" t="s">
        <v>141</v>
      </c>
    </row>
    <row r="5" spans="1:6" x14ac:dyDescent="0.3">
      <c r="A5" t="s">
        <v>14</v>
      </c>
      <c r="B5" t="str">
        <f>TRIM(Indice2026!$I$3)</f>
        <v>Brecha de ingresos por género</v>
      </c>
      <c r="C5" s="59">
        <f>Indice2026!I16</f>
        <v>9.4676232421337243</v>
      </c>
      <c r="D5" t="str">
        <f>TRIM(Indice2026!$I$5)</f>
        <v>Valor absoluto de la diferencia de ingresos mensuales promedio de hombres y mujeres dividida entre los ingresos mensuales promedio de los hombres</v>
      </c>
      <c r="E5" t="str">
        <f>TRIM(Indice2026!$I$6)</f>
        <v>Porcentaje</v>
      </c>
      <c r="F5" t="s">
        <v>141</v>
      </c>
    </row>
    <row r="6" spans="1:6" x14ac:dyDescent="0.3">
      <c r="A6" t="s">
        <v>15</v>
      </c>
      <c r="B6" t="str">
        <f>TRIM(Indice2026!$I$3)</f>
        <v>Brecha de ingresos por género</v>
      </c>
      <c r="C6" s="59">
        <f>Indice2026!I19</f>
        <v>0.11962593363242252</v>
      </c>
      <c r="D6" t="str">
        <f>TRIM(Indice2026!$I$5)</f>
        <v>Valor absoluto de la diferencia de ingresos mensuales promedio de hombres y mujeres dividida entre los ingresos mensuales promedio de los hombres</v>
      </c>
      <c r="E6" t="str">
        <f>TRIM(Indice2026!$I$6)</f>
        <v>Porcentaje</v>
      </c>
      <c r="F6" t="s">
        <v>141</v>
      </c>
    </row>
    <row r="7" spans="1:6" x14ac:dyDescent="0.3">
      <c r="A7" t="s">
        <v>16</v>
      </c>
      <c r="B7" t="str">
        <f>TRIM(Indice2026!$I$3)</f>
        <v>Brecha de ingresos por género</v>
      </c>
      <c r="C7" s="59">
        <f>Indice2026!I20</f>
        <v>11.037359550745771</v>
      </c>
      <c r="D7" t="str">
        <f>TRIM(Indice2026!$I$5)</f>
        <v>Valor absoluto de la diferencia de ingresos mensuales promedio de hombres y mujeres dividida entre los ingresos mensuales promedio de los hombres</v>
      </c>
      <c r="E7" t="str">
        <f>TRIM(Indice2026!$I$6)</f>
        <v>Porcentaje</v>
      </c>
      <c r="F7" t="s">
        <v>141</v>
      </c>
    </row>
    <row r="8" spans="1:6" x14ac:dyDescent="0.3">
      <c r="A8" t="s">
        <v>17</v>
      </c>
      <c r="B8" t="str">
        <f>TRIM(Indice2026!$I$3)</f>
        <v>Brecha de ingresos por género</v>
      </c>
      <c r="C8" s="59">
        <f>Indice2026!I21</f>
        <v>4.6352318044965903</v>
      </c>
      <c r="D8" t="str">
        <f>TRIM(Indice2026!$I$5)</f>
        <v>Valor absoluto de la diferencia de ingresos mensuales promedio de hombres y mujeres dividida entre los ingresos mensuales promedio de los hombres</v>
      </c>
      <c r="E8" t="str">
        <f>TRIM(Indice2026!$I$6)</f>
        <v>Porcentaje</v>
      </c>
      <c r="F8" t="s">
        <v>141</v>
      </c>
    </row>
    <row r="9" spans="1:6" x14ac:dyDescent="0.3">
      <c r="A9" t="s">
        <v>18</v>
      </c>
      <c r="B9" t="str">
        <f>TRIM(Indice2026!$I$3)</f>
        <v>Brecha de ingresos por género</v>
      </c>
      <c r="C9" s="59">
        <f>Indice2026!I17</f>
        <v>11.643708701914562</v>
      </c>
      <c r="D9" t="str">
        <f>TRIM(Indice2026!$I$5)</f>
        <v>Valor absoluto de la diferencia de ingresos mensuales promedio de hombres y mujeres dividida entre los ingresos mensuales promedio de los hombres</v>
      </c>
      <c r="E9" t="str">
        <f>TRIM(Indice2026!$I$6)</f>
        <v>Porcentaje</v>
      </c>
      <c r="F9" t="s">
        <v>141</v>
      </c>
    </row>
    <row r="10" spans="1:6" x14ac:dyDescent="0.3">
      <c r="A10" t="s">
        <v>19</v>
      </c>
      <c r="B10" t="str">
        <f>TRIM(Indice2026!$I$3)</f>
        <v>Brecha de ingresos por género</v>
      </c>
      <c r="C10" s="59">
        <f>Indice2026!I18</f>
        <v>17.959702923026356</v>
      </c>
      <c r="D10" t="str">
        <f>TRIM(Indice2026!$I$5)</f>
        <v>Valor absoluto de la diferencia de ingresos mensuales promedio de hombres y mujeres dividida entre los ingresos mensuales promedio de los hombres</v>
      </c>
      <c r="E10" t="str">
        <f>TRIM(Indice2026!$I$6)</f>
        <v>Porcentaje</v>
      </c>
      <c r="F10" t="s">
        <v>141</v>
      </c>
    </row>
    <row r="11" spans="1:6" x14ac:dyDescent="0.3">
      <c r="A11" t="s">
        <v>20</v>
      </c>
      <c r="B11" t="str">
        <f>TRIM(Indice2026!$I$3)</f>
        <v>Brecha de ingresos por género</v>
      </c>
      <c r="C11" s="59">
        <f>Indice2026!I22</f>
        <v>13.918399092577463</v>
      </c>
      <c r="D11" t="str">
        <f>TRIM(Indice2026!$I$5)</f>
        <v>Valor absoluto de la diferencia de ingresos mensuales promedio de hombres y mujeres dividida entre los ingresos mensuales promedio de los hombres</v>
      </c>
      <c r="E11" t="str">
        <f>TRIM(Indice2026!$I$6)</f>
        <v>Porcentaje</v>
      </c>
      <c r="F11" t="s">
        <v>141</v>
      </c>
    </row>
    <row r="12" spans="1:6" x14ac:dyDescent="0.3">
      <c r="A12" t="s">
        <v>21</v>
      </c>
      <c r="B12" t="str">
        <f>TRIM(Indice2026!$I$3)</f>
        <v>Brecha de ingresos por género</v>
      </c>
      <c r="C12" s="59">
        <f>Indice2026!I23</f>
        <v>10.336335689849081</v>
      </c>
      <c r="D12" t="str">
        <f>TRIM(Indice2026!$I$5)</f>
        <v>Valor absoluto de la diferencia de ingresos mensuales promedio de hombres y mujeres dividida entre los ingresos mensuales promedio de los hombres</v>
      </c>
      <c r="E12" t="str">
        <f>TRIM(Indice2026!$I$6)</f>
        <v>Porcentaje</v>
      </c>
      <c r="F12" t="s">
        <v>141</v>
      </c>
    </row>
    <row r="13" spans="1:6" x14ac:dyDescent="0.3">
      <c r="A13" t="s">
        <v>22</v>
      </c>
      <c r="B13" t="str">
        <f>TRIM(Indice2026!$I$3)</f>
        <v>Brecha de ingresos por género</v>
      </c>
      <c r="C13" s="59">
        <f>Indice2026!I24</f>
        <v>23.561238278172631</v>
      </c>
      <c r="D13" t="str">
        <f>TRIM(Indice2026!$I$5)</f>
        <v>Valor absoluto de la diferencia de ingresos mensuales promedio de hombres y mujeres dividida entre los ingresos mensuales promedio de los hombres</v>
      </c>
      <c r="E13" t="str">
        <f>TRIM(Indice2026!$I$6)</f>
        <v>Porcentaje</v>
      </c>
      <c r="F13" t="s">
        <v>141</v>
      </c>
    </row>
    <row r="14" spans="1:6" x14ac:dyDescent="0.3">
      <c r="A14" t="s">
        <v>23</v>
      </c>
      <c r="B14" t="str">
        <f>TRIM(Indice2026!$I$3)</f>
        <v>Brecha de ingresos por género</v>
      </c>
      <c r="C14" s="59">
        <f>Indice2026!I25</f>
        <v>17.472398989998172</v>
      </c>
      <c r="D14" t="str">
        <f>TRIM(Indice2026!$I$5)</f>
        <v>Valor absoluto de la diferencia de ingresos mensuales promedio de hombres y mujeres dividida entre los ingresos mensuales promedio de los hombres</v>
      </c>
      <c r="E14" t="str">
        <f>TRIM(Indice2026!$I$6)</f>
        <v>Porcentaje</v>
      </c>
      <c r="F14" t="s">
        <v>141</v>
      </c>
    </row>
    <row r="15" spans="1:6" x14ac:dyDescent="0.3">
      <c r="A15" t="s">
        <v>24</v>
      </c>
      <c r="B15" t="str">
        <f>TRIM(Indice2026!$I$3)</f>
        <v>Brecha de ingresos por género</v>
      </c>
      <c r="C15" s="59">
        <f>Indice2026!I26</f>
        <v>15.135770793352521</v>
      </c>
      <c r="D15" t="str">
        <f>TRIM(Indice2026!$I$5)</f>
        <v>Valor absoluto de la diferencia de ingresos mensuales promedio de hombres y mujeres dividida entre los ingresos mensuales promedio de los hombres</v>
      </c>
      <c r="E15" t="str">
        <f>TRIM(Indice2026!$I$6)</f>
        <v>Porcentaje</v>
      </c>
      <c r="F15" t="s">
        <v>141</v>
      </c>
    </row>
    <row r="16" spans="1:6" x14ac:dyDescent="0.3">
      <c r="A16" t="s">
        <v>25</v>
      </c>
      <c r="B16" t="str">
        <f>TRIM(Indice2026!$I$3)</f>
        <v>Brecha de ingresos por género</v>
      </c>
      <c r="C16" s="59">
        <f>Indice2026!I28</f>
        <v>15.085178509659405</v>
      </c>
      <c r="D16" t="str">
        <f>TRIM(Indice2026!$I$5)</f>
        <v>Valor absoluto de la diferencia de ingresos mensuales promedio de hombres y mujeres dividida entre los ingresos mensuales promedio de los hombres</v>
      </c>
      <c r="E16" t="str">
        <f>TRIM(Indice2026!$I$6)</f>
        <v>Porcentaje</v>
      </c>
      <c r="F16" t="s">
        <v>141</v>
      </c>
    </row>
    <row r="17" spans="1:6" x14ac:dyDescent="0.3">
      <c r="A17" t="s">
        <v>26</v>
      </c>
      <c r="B17" t="str">
        <f>TRIM(Indice2026!$I$3)</f>
        <v>Brecha de ingresos por género</v>
      </c>
      <c r="C17" s="59">
        <f>Indice2026!I29</f>
        <v>21.562938280408584</v>
      </c>
      <c r="D17" t="str">
        <f>TRIM(Indice2026!$I$5)</f>
        <v>Valor absoluto de la diferencia de ingresos mensuales promedio de hombres y mujeres dividida entre los ingresos mensuales promedio de los hombres</v>
      </c>
      <c r="E17" t="str">
        <f>TRIM(Indice2026!$I$6)</f>
        <v>Porcentaje</v>
      </c>
      <c r="F17" t="s">
        <v>141</v>
      </c>
    </row>
    <row r="18" spans="1:6" x14ac:dyDescent="0.3">
      <c r="A18" t="s">
        <v>0</v>
      </c>
      <c r="B18" t="str">
        <f>TRIM(Indice2026!$I$3)</f>
        <v>Brecha de ingresos por género</v>
      </c>
      <c r="C18" s="59">
        <f>Indice2026!I27</f>
        <v>11.571407550864711</v>
      </c>
      <c r="D18" t="str">
        <f>TRIM(Indice2026!$I$5)</f>
        <v>Valor absoluto de la diferencia de ingresos mensuales promedio de hombres y mujeres dividida entre los ingresos mensuales promedio de los hombres</v>
      </c>
      <c r="E18" t="str">
        <f>TRIM(Indice2026!$I$6)</f>
        <v>Porcentaje</v>
      </c>
      <c r="F18" t="s">
        <v>141</v>
      </c>
    </row>
    <row r="19" spans="1:6" x14ac:dyDescent="0.3">
      <c r="A19" t="s">
        <v>27</v>
      </c>
      <c r="B19" t="str">
        <f>TRIM(Indice2026!$I$3)</f>
        <v>Brecha de ingresos por género</v>
      </c>
      <c r="C19" s="59">
        <f>Indice2026!I30</f>
        <v>14.533135648498337</v>
      </c>
      <c r="D19" t="str">
        <f>TRIM(Indice2026!$I$5)</f>
        <v>Valor absoluto de la diferencia de ingresos mensuales promedio de hombres y mujeres dividida entre los ingresos mensuales promedio de los hombres</v>
      </c>
      <c r="E19" t="str">
        <f>TRIM(Indice2026!$I$6)</f>
        <v>Porcentaje</v>
      </c>
      <c r="F19" t="s">
        <v>141</v>
      </c>
    </row>
    <row r="20" spans="1:6" x14ac:dyDescent="0.3">
      <c r="A20" t="s">
        <v>28</v>
      </c>
      <c r="B20" t="str">
        <f>TRIM(Indice2026!$I$3)</f>
        <v>Brecha de ingresos por género</v>
      </c>
      <c r="C20" s="59">
        <f>Indice2026!I31</f>
        <v>19.330952205050501</v>
      </c>
      <c r="D20" t="str">
        <f>TRIM(Indice2026!$I$5)</f>
        <v>Valor absoluto de la diferencia de ingresos mensuales promedio de hombres y mujeres dividida entre los ingresos mensuales promedio de los hombres</v>
      </c>
      <c r="E20" t="str">
        <f>TRIM(Indice2026!$I$6)</f>
        <v>Porcentaje</v>
      </c>
      <c r="F20" t="s">
        <v>141</v>
      </c>
    </row>
    <row r="21" spans="1:6" x14ac:dyDescent="0.3">
      <c r="A21" t="s">
        <v>29</v>
      </c>
      <c r="B21" t="str">
        <f>TRIM(Indice2026!$I$3)</f>
        <v>Brecha de ingresos por género</v>
      </c>
      <c r="C21" s="59">
        <f>Indice2026!I32</f>
        <v>19.048901620883289</v>
      </c>
      <c r="D21" t="str">
        <f>TRIM(Indice2026!$I$5)</f>
        <v>Valor absoluto de la diferencia de ingresos mensuales promedio de hombres y mujeres dividida entre los ingresos mensuales promedio de los hombres</v>
      </c>
      <c r="E21" t="str">
        <f>TRIM(Indice2026!$I$6)</f>
        <v>Porcentaje</v>
      </c>
      <c r="F21" t="s">
        <v>141</v>
      </c>
    </row>
    <row r="22" spans="1:6" x14ac:dyDescent="0.3">
      <c r="A22" t="s">
        <v>30</v>
      </c>
      <c r="B22" t="str">
        <f>TRIM(Indice2026!$I$3)</f>
        <v>Brecha de ingresos por género</v>
      </c>
      <c r="C22" s="59">
        <f>Indice2026!I33</f>
        <v>12.908157183904523</v>
      </c>
      <c r="D22" t="str">
        <f>TRIM(Indice2026!$I$5)</f>
        <v>Valor absoluto de la diferencia de ingresos mensuales promedio de hombres y mujeres dividida entre los ingresos mensuales promedio de los hombres</v>
      </c>
      <c r="E22" t="str">
        <f>TRIM(Indice2026!$I$6)</f>
        <v>Porcentaje</v>
      </c>
      <c r="F22" t="s">
        <v>141</v>
      </c>
    </row>
    <row r="23" spans="1:6" x14ac:dyDescent="0.3">
      <c r="A23" t="s">
        <v>31</v>
      </c>
      <c r="B23" t="str">
        <f>TRIM(Indice2026!$I$3)</f>
        <v>Brecha de ingresos por género</v>
      </c>
      <c r="C23" s="59">
        <f>Indice2026!I34</f>
        <v>19.713497840219993</v>
      </c>
      <c r="D23" t="str">
        <f>TRIM(Indice2026!$I$5)</f>
        <v>Valor absoluto de la diferencia de ingresos mensuales promedio de hombres y mujeres dividida entre los ingresos mensuales promedio de los hombres</v>
      </c>
      <c r="E23" t="str">
        <f>TRIM(Indice2026!$I$6)</f>
        <v>Porcentaje</v>
      </c>
      <c r="F23" t="s">
        <v>141</v>
      </c>
    </row>
    <row r="24" spans="1:6" x14ac:dyDescent="0.3">
      <c r="A24" t="s">
        <v>32</v>
      </c>
      <c r="B24" t="str">
        <f>TRIM(Indice2026!$I$3)</f>
        <v>Brecha de ingresos por género</v>
      </c>
      <c r="C24" s="59">
        <f>Indice2026!I35</f>
        <v>15.755917958147659</v>
      </c>
      <c r="D24" t="str">
        <f>TRIM(Indice2026!$I$5)</f>
        <v>Valor absoluto de la diferencia de ingresos mensuales promedio de hombres y mujeres dividida entre los ingresos mensuales promedio de los hombres</v>
      </c>
      <c r="E24" t="str">
        <f>TRIM(Indice2026!$I$6)</f>
        <v>Porcentaje</v>
      </c>
      <c r="F24" t="s">
        <v>141</v>
      </c>
    </row>
    <row r="25" spans="1:6" x14ac:dyDescent="0.3">
      <c r="A25" t="s">
        <v>33</v>
      </c>
      <c r="B25" t="str">
        <f>TRIM(Indice2026!$I$3)</f>
        <v>Brecha de ingresos por género</v>
      </c>
      <c r="C25" s="59">
        <f>Indice2026!I36</f>
        <v>10.043066281738309</v>
      </c>
      <c r="D25" t="str">
        <f>TRIM(Indice2026!$I$5)</f>
        <v>Valor absoluto de la diferencia de ingresos mensuales promedio de hombres y mujeres dividida entre los ingresos mensuales promedio de los hombres</v>
      </c>
      <c r="E25" t="str">
        <f>TRIM(Indice2026!$I$6)</f>
        <v>Porcentaje</v>
      </c>
      <c r="F25" t="s">
        <v>141</v>
      </c>
    </row>
    <row r="26" spans="1:6" x14ac:dyDescent="0.3">
      <c r="A26" t="s">
        <v>34</v>
      </c>
      <c r="B26" t="str">
        <f>TRIM(Indice2026!$I$3)</f>
        <v>Brecha de ingresos por género</v>
      </c>
      <c r="C26" s="59">
        <f>Indice2026!I37</f>
        <v>16.977323743502591</v>
      </c>
      <c r="D26" t="str">
        <f>TRIM(Indice2026!$I$5)</f>
        <v>Valor absoluto de la diferencia de ingresos mensuales promedio de hombres y mujeres dividida entre los ingresos mensuales promedio de los hombres</v>
      </c>
      <c r="E26" t="str">
        <f>TRIM(Indice2026!$I$6)</f>
        <v>Porcentaje</v>
      </c>
      <c r="F26" t="s">
        <v>141</v>
      </c>
    </row>
    <row r="27" spans="1:6" x14ac:dyDescent="0.3">
      <c r="A27" t="s">
        <v>35</v>
      </c>
      <c r="B27" t="str">
        <f>TRIM(Indice2026!$I$3)</f>
        <v>Brecha de ingresos por género</v>
      </c>
      <c r="C27" s="59">
        <f>Indice2026!I38</f>
        <v>14.91353429462875</v>
      </c>
      <c r="D27" t="str">
        <f>TRIM(Indice2026!$I$5)</f>
        <v>Valor absoluto de la diferencia de ingresos mensuales promedio de hombres y mujeres dividida entre los ingresos mensuales promedio de los hombres</v>
      </c>
      <c r="E27" t="str">
        <f>TRIM(Indice2026!$I$6)</f>
        <v>Porcentaje</v>
      </c>
      <c r="F27" t="s">
        <v>141</v>
      </c>
    </row>
    <row r="28" spans="1:6" x14ac:dyDescent="0.3">
      <c r="A28" t="s">
        <v>36</v>
      </c>
      <c r="B28" t="str">
        <f>TRIM(Indice2026!$I$3)</f>
        <v>Brecha de ingresos por género</v>
      </c>
      <c r="C28" s="59">
        <f>Indice2026!I39</f>
        <v>17.758040425844978</v>
      </c>
      <c r="D28" t="str">
        <f>TRIM(Indice2026!$I$5)</f>
        <v>Valor absoluto de la diferencia de ingresos mensuales promedio de hombres y mujeres dividida entre los ingresos mensuales promedio de los hombres</v>
      </c>
      <c r="E28" t="str">
        <f>TRIM(Indice2026!$I$6)</f>
        <v>Porcentaje</v>
      </c>
      <c r="F28" t="s">
        <v>141</v>
      </c>
    </row>
    <row r="29" spans="1:6" x14ac:dyDescent="0.3">
      <c r="A29" t="s">
        <v>37</v>
      </c>
      <c r="B29" t="str">
        <f>TRIM(Indice2026!$I$3)</f>
        <v>Brecha de ingresos por género</v>
      </c>
      <c r="C29" s="59">
        <f>Indice2026!I40</f>
        <v>8.2901725708644491</v>
      </c>
      <c r="D29" t="str">
        <f>TRIM(Indice2026!$I$5)</f>
        <v>Valor absoluto de la diferencia de ingresos mensuales promedio de hombres y mujeres dividida entre los ingresos mensuales promedio de los hombres</v>
      </c>
      <c r="E29" t="str">
        <f>TRIM(Indice2026!$I$6)</f>
        <v>Porcentaje</v>
      </c>
      <c r="F29" t="s">
        <v>141</v>
      </c>
    </row>
    <row r="30" spans="1:6" x14ac:dyDescent="0.3">
      <c r="A30" t="s">
        <v>38</v>
      </c>
      <c r="B30" t="str">
        <f>TRIM(Indice2026!$I$3)</f>
        <v>Brecha de ingresos por género</v>
      </c>
      <c r="C30" s="59">
        <f>Indice2026!I41</f>
        <v>18.216217436571792</v>
      </c>
      <c r="D30" t="str">
        <f>TRIM(Indice2026!$I$5)</f>
        <v>Valor absoluto de la diferencia de ingresos mensuales promedio de hombres y mujeres dividida entre los ingresos mensuales promedio de los hombres</v>
      </c>
      <c r="E30" t="str">
        <f>TRIM(Indice2026!$I$6)</f>
        <v>Porcentaje</v>
      </c>
      <c r="F30" t="s">
        <v>141</v>
      </c>
    </row>
    <row r="31" spans="1:6" x14ac:dyDescent="0.3">
      <c r="A31" t="s">
        <v>39</v>
      </c>
      <c r="B31" t="str">
        <f>TRIM(Indice2026!$I$3)</f>
        <v>Brecha de ingresos por género</v>
      </c>
      <c r="C31" s="59">
        <f>Indice2026!I42</f>
        <v>12.508626562318018</v>
      </c>
      <c r="D31" t="str">
        <f>TRIM(Indice2026!$I$5)</f>
        <v>Valor absoluto de la diferencia de ingresos mensuales promedio de hombres y mujeres dividida entre los ingresos mensuales promedio de los hombres</v>
      </c>
      <c r="E31" t="str">
        <f>TRIM(Indice2026!$I$6)</f>
        <v>Porcentaje</v>
      </c>
      <c r="F31" t="s">
        <v>141</v>
      </c>
    </row>
    <row r="32" spans="1:6" x14ac:dyDescent="0.3">
      <c r="A32" t="s">
        <v>40</v>
      </c>
      <c r="B32" t="str">
        <f>TRIM(Indice2026!$I$3)</f>
        <v>Brecha de ingresos por género</v>
      </c>
      <c r="C32" s="59">
        <f>Indice2026!I43</f>
        <v>11.369519706749124</v>
      </c>
      <c r="D32" t="str">
        <f>TRIM(Indice2026!$I$5)</f>
        <v>Valor absoluto de la diferencia de ingresos mensuales promedio de hombres y mujeres dividida entre los ingresos mensuales promedio de los hombres</v>
      </c>
      <c r="E32" t="str">
        <f>TRIM(Indice2026!$I$6)</f>
        <v>Porcentaje</v>
      </c>
      <c r="F32" t="s">
        <v>141</v>
      </c>
    </row>
    <row r="33" spans="1:6" x14ac:dyDescent="0.3">
      <c r="A33" t="s">
        <v>41</v>
      </c>
      <c r="B33" t="str">
        <f>TRIM(Indice2026!$I$3)</f>
        <v>Brecha de ingresos por género</v>
      </c>
      <c r="C33" s="59">
        <f>Indice2026!I44</f>
        <v>12.191667117978845</v>
      </c>
      <c r="D33" t="str">
        <f>TRIM(Indice2026!$I$5)</f>
        <v>Valor absoluto de la diferencia de ingresos mensuales promedio de hombres y mujeres dividida entre los ingresos mensuales promedio de los hombres</v>
      </c>
      <c r="E33" t="str">
        <f>TRIM(Indice2026!$I$6)</f>
        <v>Porcentaje</v>
      </c>
      <c r="F33" t="s">
        <v>141</v>
      </c>
    </row>
    <row r="34" spans="1:6" x14ac:dyDescent="0.3">
      <c r="A34" t="s">
        <v>7</v>
      </c>
      <c r="B34" t="str">
        <f>TRIM(Indice2026!$K$3)</f>
        <v>Cobertura de cuidados en la primera infancia</v>
      </c>
      <c r="C34" s="59">
        <f>Indice2026!K13</f>
        <v>40.097818798564269</v>
      </c>
      <c r="D34" t="str">
        <f>TRIM(Indice2026!$K$5)</f>
        <v>Porcentaje de infancias de 0 a 5 años inscritos en una guardería, centro de cuidados o preescolar</v>
      </c>
      <c r="E34" t="str">
        <f>TRIM(Indice2026!$K$6)</f>
        <v>Porcentaje</v>
      </c>
      <c r="F34" t="s">
        <v>44</v>
      </c>
    </row>
    <row r="35" spans="1:6" x14ac:dyDescent="0.3">
      <c r="A35" t="s">
        <v>12</v>
      </c>
      <c r="B35" t="str">
        <f>TRIM(Indice2026!$K$3)</f>
        <v>Cobertura de cuidados en la primera infancia</v>
      </c>
      <c r="C35" s="59">
        <f>Indice2026!K14</f>
        <v>33.946358079810466</v>
      </c>
      <c r="D35" t="str">
        <f>TRIM(Indice2026!$K$5)</f>
        <v>Porcentaje de infancias de 0 a 5 años inscritos en una guardería, centro de cuidados o preescolar</v>
      </c>
      <c r="E35" t="str">
        <f>TRIM(Indice2026!$K$6)</f>
        <v>Porcentaje</v>
      </c>
      <c r="F35" t="s">
        <v>44</v>
      </c>
    </row>
    <row r="36" spans="1:6" x14ac:dyDescent="0.3">
      <c r="A36" t="s">
        <v>13</v>
      </c>
      <c r="B36" t="str">
        <f>TRIM(Indice2026!$K$3)</f>
        <v>Cobertura de cuidados en la primera infancia</v>
      </c>
      <c r="C36" s="59">
        <f>Indice2026!K15</f>
        <v>37.128527584400025</v>
      </c>
      <c r="D36" t="str">
        <f>TRIM(Indice2026!$K$5)</f>
        <v>Porcentaje de infancias de 0 a 5 años inscritos en una guardería, centro de cuidados o preescolar</v>
      </c>
      <c r="E36" t="str">
        <f>TRIM(Indice2026!$K$6)</f>
        <v>Porcentaje</v>
      </c>
      <c r="F36" t="s">
        <v>44</v>
      </c>
    </row>
    <row r="37" spans="1:6" x14ac:dyDescent="0.3">
      <c r="A37" t="s">
        <v>14</v>
      </c>
      <c r="B37" t="str">
        <f>TRIM(Indice2026!$K$3)</f>
        <v>Cobertura de cuidados en la primera infancia</v>
      </c>
      <c r="C37" s="59">
        <f>Indice2026!K16</f>
        <v>42.467802631886499</v>
      </c>
      <c r="D37" t="str">
        <f>TRIM(Indice2026!$K$5)</f>
        <v>Porcentaje de infancias de 0 a 5 años inscritos en una guardería, centro de cuidados o preescolar</v>
      </c>
      <c r="E37" t="str">
        <f>TRIM(Indice2026!$K$6)</f>
        <v>Porcentaje</v>
      </c>
      <c r="F37" t="s">
        <v>44</v>
      </c>
    </row>
    <row r="38" spans="1:6" x14ac:dyDescent="0.3">
      <c r="A38" t="s">
        <v>15</v>
      </c>
      <c r="B38" t="str">
        <f>TRIM(Indice2026!$K$3)</f>
        <v>Cobertura de cuidados en la primera infancia</v>
      </c>
      <c r="C38" s="59">
        <f>Indice2026!K19</f>
        <v>36.820917233025057</v>
      </c>
      <c r="D38" t="str">
        <f>TRIM(Indice2026!$K$5)</f>
        <v>Porcentaje de infancias de 0 a 5 años inscritos en una guardería, centro de cuidados o preescolar</v>
      </c>
      <c r="E38" t="str">
        <f>TRIM(Indice2026!$K$6)</f>
        <v>Porcentaje</v>
      </c>
      <c r="F38" t="s">
        <v>44</v>
      </c>
    </row>
    <row r="39" spans="1:6" x14ac:dyDescent="0.3">
      <c r="A39" t="s">
        <v>16</v>
      </c>
      <c r="B39" t="str">
        <f>TRIM(Indice2026!$K$3)</f>
        <v>Cobertura de cuidados en la primera infancia</v>
      </c>
      <c r="C39" s="59">
        <f>Indice2026!K20</f>
        <v>38.376757810822184</v>
      </c>
      <c r="D39" t="str">
        <f>TRIM(Indice2026!$K$5)</f>
        <v>Porcentaje de infancias de 0 a 5 años inscritos en una guardería, centro de cuidados o preescolar</v>
      </c>
      <c r="E39" t="str">
        <f>TRIM(Indice2026!$K$6)</f>
        <v>Porcentaje</v>
      </c>
      <c r="F39" t="s">
        <v>44</v>
      </c>
    </row>
    <row r="40" spans="1:6" x14ac:dyDescent="0.3">
      <c r="A40" t="s">
        <v>17</v>
      </c>
      <c r="B40" t="str">
        <f>TRIM(Indice2026!$K$3)</f>
        <v>Cobertura de cuidados en la primera infancia</v>
      </c>
      <c r="C40" s="59">
        <f>Indice2026!K21</f>
        <v>43.796329918536372</v>
      </c>
      <c r="D40" t="str">
        <f>TRIM(Indice2026!$K$5)</f>
        <v>Porcentaje de infancias de 0 a 5 años inscritos en una guardería, centro de cuidados o preescolar</v>
      </c>
      <c r="E40" t="str">
        <f>TRIM(Indice2026!$K$6)</f>
        <v>Porcentaje</v>
      </c>
      <c r="F40" t="s">
        <v>44</v>
      </c>
    </row>
    <row r="41" spans="1:6" x14ac:dyDescent="0.3">
      <c r="A41" t="s">
        <v>18</v>
      </c>
      <c r="B41" t="str">
        <f>TRIM(Indice2026!$K$3)</f>
        <v>Cobertura de cuidados en la primera infancia</v>
      </c>
      <c r="C41" s="59">
        <f>Indice2026!K17</f>
        <v>44.574509142515048</v>
      </c>
      <c r="D41" t="str">
        <f>TRIM(Indice2026!$K$5)</f>
        <v>Porcentaje de infancias de 0 a 5 años inscritos en una guardería, centro de cuidados o preescolar</v>
      </c>
      <c r="E41" t="str">
        <f>TRIM(Indice2026!$K$6)</f>
        <v>Porcentaje</v>
      </c>
      <c r="F41" t="s">
        <v>44</v>
      </c>
    </row>
    <row r="42" spans="1:6" x14ac:dyDescent="0.3">
      <c r="A42" t="s">
        <v>19</v>
      </c>
      <c r="B42" t="str">
        <f>TRIM(Indice2026!$K$3)</f>
        <v>Cobertura de cuidados en la primera infancia</v>
      </c>
      <c r="C42" s="59">
        <f>Indice2026!K18</f>
        <v>47.907459488415697</v>
      </c>
      <c r="D42" t="str">
        <f>TRIM(Indice2026!$K$5)</f>
        <v>Porcentaje de infancias de 0 a 5 años inscritos en una guardería, centro de cuidados o preescolar</v>
      </c>
      <c r="E42" t="str">
        <f>TRIM(Indice2026!$K$6)</f>
        <v>Porcentaje</v>
      </c>
      <c r="F42" t="s">
        <v>44</v>
      </c>
    </row>
    <row r="43" spans="1:6" x14ac:dyDescent="0.3">
      <c r="A43" t="s">
        <v>20</v>
      </c>
      <c r="B43" t="str">
        <f>TRIM(Indice2026!$K$3)</f>
        <v>Cobertura de cuidados en la primera infancia</v>
      </c>
      <c r="C43" s="59">
        <f>Indice2026!K22</f>
        <v>39.229684139388446</v>
      </c>
      <c r="D43" t="str">
        <f>TRIM(Indice2026!$K$5)</f>
        <v>Porcentaje de infancias de 0 a 5 años inscritos en una guardería, centro de cuidados o preescolar</v>
      </c>
      <c r="E43" t="str">
        <f>TRIM(Indice2026!$K$6)</f>
        <v>Porcentaje</v>
      </c>
      <c r="F43" t="s">
        <v>44</v>
      </c>
    </row>
    <row r="44" spans="1:6" x14ac:dyDescent="0.3">
      <c r="A44" t="s">
        <v>21</v>
      </c>
      <c r="B44" t="str">
        <f>TRIM(Indice2026!$K$3)</f>
        <v>Cobertura de cuidados en la primera infancia</v>
      </c>
      <c r="C44" s="59">
        <f>Indice2026!K23</f>
        <v>37.99246868984347</v>
      </c>
      <c r="D44" t="str">
        <f>TRIM(Indice2026!$K$5)</f>
        <v>Porcentaje de infancias de 0 a 5 años inscritos en una guardería, centro de cuidados o preescolar</v>
      </c>
      <c r="E44" t="str">
        <f>TRIM(Indice2026!$K$6)</f>
        <v>Porcentaje</v>
      </c>
      <c r="F44" t="s">
        <v>44</v>
      </c>
    </row>
    <row r="45" spans="1:6" x14ac:dyDescent="0.3">
      <c r="A45" t="s">
        <v>22</v>
      </c>
      <c r="B45" t="str">
        <f>TRIM(Indice2026!$K$3)</f>
        <v>Cobertura de cuidados en la primera infancia</v>
      </c>
      <c r="C45" s="59">
        <f>Indice2026!K24</f>
        <v>41.445124434999833</v>
      </c>
      <c r="D45" t="str">
        <f>TRIM(Indice2026!$K$5)</f>
        <v>Porcentaje de infancias de 0 a 5 años inscritos en una guardería, centro de cuidados o preescolar</v>
      </c>
      <c r="E45" t="str">
        <f>TRIM(Indice2026!$K$6)</f>
        <v>Porcentaje</v>
      </c>
      <c r="F45" t="s">
        <v>44</v>
      </c>
    </row>
    <row r="46" spans="1:6" x14ac:dyDescent="0.3">
      <c r="A46" t="s">
        <v>23</v>
      </c>
      <c r="B46" t="str">
        <f>TRIM(Indice2026!$K$3)</f>
        <v>Cobertura de cuidados en la primera infancia</v>
      </c>
      <c r="C46" s="59">
        <f>Indice2026!K25</f>
        <v>37.296998935487686</v>
      </c>
      <c r="D46" t="str">
        <f>TRIM(Indice2026!$K$5)</f>
        <v>Porcentaje de infancias de 0 a 5 años inscritos en una guardería, centro de cuidados o preescolar</v>
      </c>
      <c r="E46" t="str">
        <f>TRIM(Indice2026!$K$6)</f>
        <v>Porcentaje</v>
      </c>
      <c r="F46" t="s">
        <v>44</v>
      </c>
    </row>
    <row r="47" spans="1:6" x14ac:dyDescent="0.3">
      <c r="A47" t="s">
        <v>24</v>
      </c>
      <c r="B47" t="str">
        <f>TRIM(Indice2026!$K$3)</f>
        <v>Cobertura de cuidados en la primera infancia</v>
      </c>
      <c r="C47" s="59">
        <f>Indice2026!K26</f>
        <v>36.33592758367292</v>
      </c>
      <c r="D47" t="str">
        <f>TRIM(Indice2026!$K$5)</f>
        <v>Porcentaje de infancias de 0 a 5 años inscritos en una guardería, centro de cuidados o preescolar</v>
      </c>
      <c r="E47" t="str">
        <f>TRIM(Indice2026!$K$6)</f>
        <v>Porcentaje</v>
      </c>
      <c r="F47" t="s">
        <v>44</v>
      </c>
    </row>
    <row r="48" spans="1:6" x14ac:dyDescent="0.3">
      <c r="A48" t="s">
        <v>25</v>
      </c>
      <c r="B48" t="str">
        <f>TRIM(Indice2026!$K$3)</f>
        <v>Cobertura de cuidados en la primera infancia</v>
      </c>
      <c r="C48" s="59">
        <f>Indice2026!K28</f>
        <v>36.936083893417923</v>
      </c>
      <c r="D48" t="str">
        <f>TRIM(Indice2026!$K$5)</f>
        <v>Porcentaje de infancias de 0 a 5 años inscritos en una guardería, centro de cuidados o preescolar</v>
      </c>
      <c r="E48" t="str">
        <f>TRIM(Indice2026!$K$6)</f>
        <v>Porcentaje</v>
      </c>
      <c r="F48" t="s">
        <v>44</v>
      </c>
    </row>
    <row r="49" spans="1:6" x14ac:dyDescent="0.3">
      <c r="A49" t="s">
        <v>26</v>
      </c>
      <c r="B49" t="str">
        <f>TRIM(Indice2026!$K$3)</f>
        <v>Cobertura de cuidados en la primera infancia</v>
      </c>
      <c r="C49" s="59">
        <f>Indice2026!K29</f>
        <v>37.386690885262489</v>
      </c>
      <c r="D49" t="str">
        <f>TRIM(Indice2026!$K$5)</f>
        <v>Porcentaje de infancias de 0 a 5 años inscritos en una guardería, centro de cuidados o preescolar</v>
      </c>
      <c r="E49" t="str">
        <f>TRIM(Indice2026!$K$6)</f>
        <v>Porcentaje</v>
      </c>
      <c r="F49" t="s">
        <v>44</v>
      </c>
    </row>
    <row r="50" spans="1:6" x14ac:dyDescent="0.3">
      <c r="A50" t="s">
        <v>0</v>
      </c>
      <c r="B50" t="str">
        <f>TRIM(Indice2026!$K$3)</f>
        <v>Cobertura de cuidados en la primera infancia</v>
      </c>
      <c r="C50" s="59">
        <f>Indice2026!K27</f>
        <v>32.064142002402676</v>
      </c>
      <c r="D50" t="str">
        <f>TRIM(Indice2026!$K$5)</f>
        <v>Porcentaje de infancias de 0 a 5 años inscritos en una guardería, centro de cuidados o preescolar</v>
      </c>
      <c r="E50" t="str">
        <f>TRIM(Indice2026!$K$6)</f>
        <v>Porcentaje</v>
      </c>
      <c r="F50" t="s">
        <v>44</v>
      </c>
    </row>
    <row r="51" spans="1:6" x14ac:dyDescent="0.3">
      <c r="A51" t="s">
        <v>27</v>
      </c>
      <c r="B51" t="str">
        <f>TRIM(Indice2026!$K$3)</f>
        <v>Cobertura de cuidados en la primera infancia</v>
      </c>
      <c r="C51" s="59">
        <f>Indice2026!K30</f>
        <v>41.074877854789229</v>
      </c>
      <c r="D51" t="str">
        <f>TRIM(Indice2026!$K$5)</f>
        <v>Porcentaje de infancias de 0 a 5 años inscritos en una guardería, centro de cuidados o preescolar</v>
      </c>
      <c r="E51" t="str">
        <f>TRIM(Indice2026!$K$6)</f>
        <v>Porcentaje</v>
      </c>
      <c r="F51" t="s">
        <v>44</v>
      </c>
    </row>
    <row r="52" spans="1:6" x14ac:dyDescent="0.3">
      <c r="A52" t="s">
        <v>28</v>
      </c>
      <c r="B52" t="str">
        <f>TRIM(Indice2026!$K$3)</f>
        <v>Cobertura de cuidados en la primera infancia</v>
      </c>
      <c r="C52" s="59">
        <f>Indice2026!K31</f>
        <v>36.047092248137389</v>
      </c>
      <c r="D52" t="str">
        <f>TRIM(Indice2026!$K$5)</f>
        <v>Porcentaje de infancias de 0 a 5 años inscritos en una guardería, centro de cuidados o preescolar</v>
      </c>
      <c r="E52" t="str">
        <f>TRIM(Indice2026!$K$6)</f>
        <v>Porcentaje</v>
      </c>
      <c r="F52" t="s">
        <v>44</v>
      </c>
    </row>
    <row r="53" spans="1:6" x14ac:dyDescent="0.3">
      <c r="A53" t="s">
        <v>29</v>
      </c>
      <c r="B53" t="str">
        <f>TRIM(Indice2026!$K$3)</f>
        <v>Cobertura de cuidados en la primera infancia</v>
      </c>
      <c r="C53" s="59">
        <f>Indice2026!K32</f>
        <v>42.201137018163273</v>
      </c>
      <c r="D53" t="str">
        <f>TRIM(Indice2026!$K$5)</f>
        <v>Porcentaje de infancias de 0 a 5 años inscritos en una guardería, centro de cuidados o preescolar</v>
      </c>
      <c r="E53" t="str">
        <f>TRIM(Indice2026!$K$6)</f>
        <v>Porcentaje</v>
      </c>
      <c r="F53" t="s">
        <v>44</v>
      </c>
    </row>
    <row r="54" spans="1:6" x14ac:dyDescent="0.3">
      <c r="A54" t="s">
        <v>30</v>
      </c>
      <c r="B54" t="str">
        <f>TRIM(Indice2026!$K$3)</f>
        <v>Cobertura de cuidados en la primera infancia</v>
      </c>
      <c r="C54" s="59">
        <f>Indice2026!K33</f>
        <v>36.012698495989085</v>
      </c>
      <c r="D54" t="str">
        <f>TRIM(Indice2026!$K$5)</f>
        <v>Porcentaje de infancias de 0 a 5 años inscritos en una guardería, centro de cuidados o preescolar</v>
      </c>
      <c r="E54" t="str">
        <f>TRIM(Indice2026!$K$6)</f>
        <v>Porcentaje</v>
      </c>
      <c r="F54" t="s">
        <v>44</v>
      </c>
    </row>
    <row r="55" spans="1:6" x14ac:dyDescent="0.3">
      <c r="A55" t="s">
        <v>31</v>
      </c>
      <c r="B55" t="str">
        <f>TRIM(Indice2026!$K$3)</f>
        <v>Cobertura de cuidados en la primera infancia</v>
      </c>
      <c r="C55" s="59">
        <f>Indice2026!K34</f>
        <v>37.126364425573236</v>
      </c>
      <c r="D55" t="str">
        <f>TRIM(Indice2026!$K$5)</f>
        <v>Porcentaje de infancias de 0 a 5 años inscritos en una guardería, centro de cuidados o preescolar</v>
      </c>
      <c r="E55" t="str">
        <f>TRIM(Indice2026!$K$6)</f>
        <v>Porcentaje</v>
      </c>
      <c r="F55" t="s">
        <v>44</v>
      </c>
    </row>
    <row r="56" spans="1:6" x14ac:dyDescent="0.3">
      <c r="A56" t="s">
        <v>32</v>
      </c>
      <c r="B56" t="str">
        <f>TRIM(Indice2026!$K$3)</f>
        <v>Cobertura de cuidados en la primera infancia</v>
      </c>
      <c r="C56" s="59">
        <f>Indice2026!K35</f>
        <v>29.823885008724194</v>
      </c>
      <c r="D56" t="str">
        <f>TRIM(Indice2026!$K$5)</f>
        <v>Porcentaje de infancias de 0 a 5 años inscritos en una guardería, centro de cuidados o preescolar</v>
      </c>
      <c r="E56" t="str">
        <f>TRIM(Indice2026!$K$6)</f>
        <v>Porcentaje</v>
      </c>
      <c r="F56" t="s">
        <v>44</v>
      </c>
    </row>
    <row r="57" spans="1:6" x14ac:dyDescent="0.3">
      <c r="A57" t="s">
        <v>33</v>
      </c>
      <c r="B57" t="str">
        <f>TRIM(Indice2026!$K$3)</f>
        <v>Cobertura de cuidados en la primera infancia</v>
      </c>
      <c r="C57" s="59">
        <f>Indice2026!K36</f>
        <v>43.291547636730421</v>
      </c>
      <c r="D57" t="str">
        <f>TRIM(Indice2026!$K$5)</f>
        <v>Porcentaje de infancias de 0 a 5 años inscritos en una guardería, centro de cuidados o preescolar</v>
      </c>
      <c r="E57" t="str">
        <f>TRIM(Indice2026!$K$6)</f>
        <v>Porcentaje</v>
      </c>
      <c r="F57" t="s">
        <v>44</v>
      </c>
    </row>
    <row r="58" spans="1:6" x14ac:dyDescent="0.3">
      <c r="A58" t="s">
        <v>34</v>
      </c>
      <c r="B58" t="str">
        <f>TRIM(Indice2026!$K$3)</f>
        <v>Cobertura de cuidados en la primera infancia</v>
      </c>
      <c r="C58" s="59">
        <f>Indice2026!K37</f>
        <v>45.70677910438274</v>
      </c>
      <c r="D58" t="str">
        <f>TRIM(Indice2026!$K$5)</f>
        <v>Porcentaje de infancias de 0 a 5 años inscritos en una guardería, centro de cuidados o preescolar</v>
      </c>
      <c r="E58" t="str">
        <f>TRIM(Indice2026!$K$6)</f>
        <v>Porcentaje</v>
      </c>
      <c r="F58" t="s">
        <v>44</v>
      </c>
    </row>
    <row r="59" spans="1:6" x14ac:dyDescent="0.3">
      <c r="A59" t="s">
        <v>35</v>
      </c>
      <c r="B59" t="str">
        <f>TRIM(Indice2026!$K$3)</f>
        <v>Cobertura de cuidados en la primera infancia</v>
      </c>
      <c r="C59" s="59">
        <f>Indice2026!K38</f>
        <v>40.004001948118137</v>
      </c>
      <c r="D59" t="str">
        <f>TRIM(Indice2026!$K$5)</f>
        <v>Porcentaje de infancias de 0 a 5 años inscritos en una guardería, centro de cuidados o preescolar</v>
      </c>
      <c r="E59" t="str">
        <f>TRIM(Indice2026!$K$6)</f>
        <v>Porcentaje</v>
      </c>
      <c r="F59" t="s">
        <v>44</v>
      </c>
    </row>
    <row r="60" spans="1:6" x14ac:dyDescent="0.3">
      <c r="A60" t="s">
        <v>36</v>
      </c>
      <c r="B60" t="str">
        <f>TRIM(Indice2026!$K$3)</f>
        <v>Cobertura de cuidados en la primera infancia</v>
      </c>
      <c r="C60" s="59">
        <f>Indice2026!K39</f>
        <v>46.391190017874329</v>
      </c>
      <c r="D60" t="str">
        <f>TRIM(Indice2026!$K$5)</f>
        <v>Porcentaje de infancias de 0 a 5 años inscritos en una guardería, centro de cuidados o preescolar</v>
      </c>
      <c r="E60" t="str">
        <f>TRIM(Indice2026!$K$6)</f>
        <v>Porcentaje</v>
      </c>
      <c r="F60" t="s">
        <v>44</v>
      </c>
    </row>
    <row r="61" spans="1:6" x14ac:dyDescent="0.3">
      <c r="A61" t="s">
        <v>37</v>
      </c>
      <c r="B61" t="str">
        <f>TRIM(Indice2026!$K$3)</f>
        <v>Cobertura de cuidados en la primera infancia</v>
      </c>
      <c r="C61" s="59">
        <f>Indice2026!K40</f>
        <v>36.862123908070203</v>
      </c>
      <c r="D61" t="str">
        <f>TRIM(Indice2026!$K$5)</f>
        <v>Porcentaje de infancias de 0 a 5 años inscritos en una guardería, centro de cuidados o preescolar</v>
      </c>
      <c r="E61" t="str">
        <f>TRIM(Indice2026!$K$6)</f>
        <v>Porcentaje</v>
      </c>
      <c r="F61" t="s">
        <v>44</v>
      </c>
    </row>
    <row r="62" spans="1:6" x14ac:dyDescent="0.3">
      <c r="A62" t="s">
        <v>38</v>
      </c>
      <c r="B62" t="str">
        <f>TRIM(Indice2026!$K$3)</f>
        <v>Cobertura de cuidados en la primera infancia</v>
      </c>
      <c r="C62" s="59">
        <f>Indice2026!K41</f>
        <v>34.555426471780187</v>
      </c>
      <c r="D62" t="str">
        <f>TRIM(Indice2026!$K$5)</f>
        <v>Porcentaje de infancias de 0 a 5 años inscritos en una guardería, centro de cuidados o preescolar</v>
      </c>
      <c r="E62" t="str">
        <f>TRIM(Indice2026!$K$6)</f>
        <v>Porcentaje</v>
      </c>
      <c r="F62" t="s">
        <v>44</v>
      </c>
    </row>
    <row r="63" spans="1:6" x14ac:dyDescent="0.3">
      <c r="A63" t="s">
        <v>39</v>
      </c>
      <c r="B63" t="str">
        <f>TRIM(Indice2026!$K$3)</f>
        <v>Cobertura de cuidados en la primera infancia</v>
      </c>
      <c r="C63" s="59">
        <f>Indice2026!K42</f>
        <v>33.636320612403054</v>
      </c>
      <c r="D63" t="str">
        <f>TRIM(Indice2026!$K$5)</f>
        <v>Porcentaje de infancias de 0 a 5 años inscritos en una guardería, centro de cuidados o preescolar</v>
      </c>
      <c r="E63" t="str">
        <f>TRIM(Indice2026!$K$6)</f>
        <v>Porcentaje</v>
      </c>
      <c r="F63" t="s">
        <v>44</v>
      </c>
    </row>
    <row r="64" spans="1:6" x14ac:dyDescent="0.3">
      <c r="A64" t="s">
        <v>40</v>
      </c>
      <c r="B64" t="str">
        <f>TRIM(Indice2026!$K$3)</f>
        <v>Cobertura de cuidados en la primera infancia</v>
      </c>
      <c r="C64" s="59">
        <f>Indice2026!K43</f>
        <v>42.111660280788712</v>
      </c>
      <c r="D64" t="str">
        <f>TRIM(Indice2026!$K$5)</f>
        <v>Porcentaje de infancias de 0 a 5 años inscritos en una guardería, centro de cuidados o preescolar</v>
      </c>
      <c r="E64" t="str">
        <f>TRIM(Indice2026!$K$6)</f>
        <v>Porcentaje</v>
      </c>
      <c r="F64" t="s">
        <v>44</v>
      </c>
    </row>
    <row r="65" spans="1:6" x14ac:dyDescent="0.3">
      <c r="A65" t="s">
        <v>41</v>
      </c>
      <c r="B65" t="str">
        <f>TRIM(Indice2026!$K$3)</f>
        <v>Cobertura de cuidados en la primera infancia</v>
      </c>
      <c r="C65" s="59">
        <f>Indice2026!K44</f>
        <v>41.113450015343453</v>
      </c>
      <c r="D65" t="str">
        <f>TRIM(Indice2026!$K$5)</f>
        <v>Porcentaje de infancias de 0 a 5 años inscritos en una guardería, centro de cuidados o preescolar</v>
      </c>
      <c r="E65" t="str">
        <f>TRIM(Indice2026!$K$6)</f>
        <v>Porcentaje</v>
      </c>
      <c r="F65" t="s">
        <v>44</v>
      </c>
    </row>
    <row r="66" spans="1:6" x14ac:dyDescent="0.3">
      <c r="A66" t="s">
        <v>7</v>
      </c>
      <c r="B66" t="str">
        <f>TRIM(Indice2026!$N$3)</f>
        <v>Delitos sexuales</v>
      </c>
      <c r="C66" s="59">
        <f>Indice2026!N13</f>
        <v>18.613178890375973</v>
      </c>
      <c r="D66" t="str">
        <f>TRIM(Indice2026!$N$5)</f>
        <v>Carpetas de investigación de delitos de acoso y hostigamiento sexual por cada 100 mil mujeres</v>
      </c>
      <c r="E66" t="str">
        <f>TRIM(Indice2026!$N$6)</f>
        <v>Tasa</v>
      </c>
      <c r="F66" t="s">
        <v>142</v>
      </c>
    </row>
    <row r="67" spans="1:6" x14ac:dyDescent="0.3">
      <c r="A67" t="s">
        <v>12</v>
      </c>
      <c r="B67" t="str">
        <f>TRIM(Indice2026!$N$3)</f>
        <v>Delitos sexuales</v>
      </c>
      <c r="C67" s="59">
        <f>Indice2026!N14</f>
        <v>80.565869484275154</v>
      </c>
      <c r="D67" t="str">
        <f>TRIM(Indice2026!$N$5)</f>
        <v>Carpetas de investigación de delitos de acoso y hostigamiento sexual por cada 100 mil mujeres</v>
      </c>
      <c r="E67" t="str">
        <f>TRIM(Indice2026!$N$6)</f>
        <v>Tasa</v>
      </c>
      <c r="F67" t="s">
        <v>142</v>
      </c>
    </row>
    <row r="68" spans="1:6" x14ac:dyDescent="0.3">
      <c r="A68" t="s">
        <v>13</v>
      </c>
      <c r="B68" t="str">
        <f>TRIM(Indice2026!$N$3)</f>
        <v>Delitos sexuales</v>
      </c>
      <c r="C68" s="59">
        <f>Indice2026!N15</f>
        <v>41.324553559331221</v>
      </c>
      <c r="D68" t="str">
        <f>TRIM(Indice2026!$N$5)</f>
        <v>Carpetas de investigación de delitos de acoso y hostigamiento sexual por cada 100 mil mujeres</v>
      </c>
      <c r="E68" t="str">
        <f>TRIM(Indice2026!$N$6)</f>
        <v>Tasa</v>
      </c>
      <c r="F68" t="s">
        <v>142</v>
      </c>
    </row>
    <row r="69" spans="1:6" x14ac:dyDescent="0.3">
      <c r="A69" t="s">
        <v>14</v>
      </c>
      <c r="B69" t="str">
        <f>TRIM(Indice2026!$N$3)</f>
        <v>Delitos sexuales</v>
      </c>
      <c r="C69" s="59">
        <f>Indice2026!N16</f>
        <v>5.3252389700987832</v>
      </c>
      <c r="D69" t="str">
        <f>TRIM(Indice2026!$N$5)</f>
        <v>Carpetas de investigación de delitos de acoso y hostigamiento sexual por cada 100 mil mujeres</v>
      </c>
      <c r="E69" t="str">
        <f>TRIM(Indice2026!$N$6)</f>
        <v>Tasa</v>
      </c>
      <c r="F69" t="s">
        <v>142</v>
      </c>
    </row>
    <row r="70" spans="1:6" x14ac:dyDescent="0.3">
      <c r="A70" t="s">
        <v>15</v>
      </c>
      <c r="B70" t="str">
        <f>TRIM(Indice2026!$N$3)</f>
        <v>Delitos sexuales</v>
      </c>
      <c r="C70" s="59">
        <f>Indice2026!N19</f>
        <v>2.5269601053774351</v>
      </c>
      <c r="D70" t="str">
        <f>TRIM(Indice2026!$N$5)</f>
        <v>Carpetas de investigación de delitos de acoso y hostigamiento sexual por cada 100 mil mujeres</v>
      </c>
      <c r="E70" t="str">
        <f>TRIM(Indice2026!$N$6)</f>
        <v>Tasa</v>
      </c>
      <c r="F70" t="s">
        <v>142</v>
      </c>
    </row>
    <row r="71" spans="1:6" x14ac:dyDescent="0.3">
      <c r="A71" t="s">
        <v>16</v>
      </c>
      <c r="B71" t="str">
        <f>TRIM(Indice2026!$N$3)</f>
        <v>Delitos sexuales</v>
      </c>
      <c r="C71" s="59">
        <f>Indice2026!N20</f>
        <v>26.058226042996566</v>
      </c>
      <c r="D71" t="str">
        <f>TRIM(Indice2026!$N$5)</f>
        <v>Carpetas de investigación de delitos de acoso y hostigamiento sexual por cada 100 mil mujeres</v>
      </c>
      <c r="E71" t="str">
        <f>TRIM(Indice2026!$N$6)</f>
        <v>Tasa</v>
      </c>
      <c r="F71" t="s">
        <v>142</v>
      </c>
    </row>
    <row r="72" spans="1:6" x14ac:dyDescent="0.3">
      <c r="A72" t="s">
        <v>17</v>
      </c>
      <c r="B72" t="str">
        <f>TRIM(Indice2026!$N$3)</f>
        <v>Delitos sexuales</v>
      </c>
      <c r="C72" s="59">
        <f>Indice2026!N21</f>
        <v>31.912133583688629</v>
      </c>
      <c r="D72" t="str">
        <f>TRIM(Indice2026!$N$5)</f>
        <v>Carpetas de investigación de delitos de acoso y hostigamiento sexual por cada 100 mil mujeres</v>
      </c>
      <c r="E72" t="str">
        <f>TRIM(Indice2026!$N$6)</f>
        <v>Tasa</v>
      </c>
      <c r="F72" t="s">
        <v>142</v>
      </c>
    </row>
    <row r="73" spans="1:6" x14ac:dyDescent="0.3">
      <c r="A73" t="s">
        <v>18</v>
      </c>
      <c r="B73" t="str">
        <f>TRIM(Indice2026!$N$3)</f>
        <v>Delitos sexuales</v>
      </c>
      <c r="C73" s="59">
        <f>Indice2026!N17</f>
        <v>33.77616330980554</v>
      </c>
      <c r="D73" t="str">
        <f>TRIM(Indice2026!$N$5)</f>
        <v>Carpetas de investigación de delitos de acoso y hostigamiento sexual por cada 100 mil mujeres</v>
      </c>
      <c r="E73" t="str">
        <f>TRIM(Indice2026!$N$6)</f>
        <v>Tasa</v>
      </c>
      <c r="F73" t="s">
        <v>142</v>
      </c>
    </row>
    <row r="74" spans="1:6" x14ac:dyDescent="0.3">
      <c r="A74" t="s">
        <v>19</v>
      </c>
      <c r="B74" t="str">
        <f>TRIM(Indice2026!$N$3)</f>
        <v>Delitos sexuales</v>
      </c>
      <c r="C74" s="59">
        <f>Indice2026!N18</f>
        <v>37.701256278162965</v>
      </c>
      <c r="D74" t="str">
        <f>TRIM(Indice2026!$N$5)</f>
        <v>Carpetas de investigación de delitos de acoso y hostigamiento sexual por cada 100 mil mujeres</v>
      </c>
      <c r="E74" t="str">
        <f>TRIM(Indice2026!$N$6)</f>
        <v>Tasa</v>
      </c>
      <c r="F74" t="s">
        <v>142</v>
      </c>
    </row>
    <row r="75" spans="1:6" x14ac:dyDescent="0.3">
      <c r="A75" t="s">
        <v>20</v>
      </c>
      <c r="B75" t="str">
        <f>TRIM(Indice2026!$N$3)</f>
        <v>Delitos sexuales</v>
      </c>
      <c r="C75" s="59">
        <f>Indice2026!N22</f>
        <v>10.803236032187471</v>
      </c>
      <c r="D75" t="str">
        <f>TRIM(Indice2026!$N$5)</f>
        <v>Carpetas de investigación de delitos de acoso y hostigamiento sexual por cada 100 mil mujeres</v>
      </c>
      <c r="E75" t="str">
        <f>TRIM(Indice2026!$N$6)</f>
        <v>Tasa</v>
      </c>
      <c r="F75" t="s">
        <v>142</v>
      </c>
    </row>
    <row r="76" spans="1:6" x14ac:dyDescent="0.3">
      <c r="A76" t="s">
        <v>21</v>
      </c>
      <c r="B76" t="str">
        <f>TRIM(Indice2026!$N$3)</f>
        <v>Delitos sexuales</v>
      </c>
      <c r="C76" s="59">
        <f>Indice2026!N23</f>
        <v>15.408508411766508</v>
      </c>
      <c r="D76" t="str">
        <f>TRIM(Indice2026!$N$5)</f>
        <v>Carpetas de investigación de delitos de acoso y hostigamiento sexual por cada 100 mil mujeres</v>
      </c>
      <c r="E76" t="str">
        <f>TRIM(Indice2026!$N$6)</f>
        <v>Tasa</v>
      </c>
      <c r="F76" t="s">
        <v>142</v>
      </c>
    </row>
    <row r="77" spans="1:6" x14ac:dyDescent="0.3">
      <c r="A77" t="s">
        <v>22</v>
      </c>
      <c r="B77" t="str">
        <f>TRIM(Indice2026!$N$3)</f>
        <v>Delitos sexuales</v>
      </c>
      <c r="C77" s="59">
        <f>Indice2026!N24</f>
        <v>9.9942492982647426</v>
      </c>
      <c r="D77" t="str">
        <f>TRIM(Indice2026!$N$5)</f>
        <v>Carpetas de investigación de delitos de acoso y hostigamiento sexual por cada 100 mil mujeres</v>
      </c>
      <c r="E77" t="str">
        <f>TRIM(Indice2026!$N$6)</f>
        <v>Tasa</v>
      </c>
      <c r="F77" t="s">
        <v>142</v>
      </c>
    </row>
    <row r="78" spans="1:6" x14ac:dyDescent="0.3">
      <c r="A78" t="s">
        <v>23</v>
      </c>
      <c r="B78" t="str">
        <f>TRIM(Indice2026!$N$3)</f>
        <v>Delitos sexuales</v>
      </c>
      <c r="C78" s="59">
        <f>Indice2026!N25</f>
        <v>15.187407369907636</v>
      </c>
      <c r="D78" t="str">
        <f>TRIM(Indice2026!$N$5)</f>
        <v>Carpetas de investigación de delitos de acoso y hostigamiento sexual por cada 100 mil mujeres</v>
      </c>
      <c r="E78" t="str">
        <f>TRIM(Indice2026!$N$6)</f>
        <v>Tasa</v>
      </c>
      <c r="F78" t="s">
        <v>142</v>
      </c>
    </row>
    <row r="79" spans="1:6" x14ac:dyDescent="0.3">
      <c r="A79" t="s">
        <v>24</v>
      </c>
      <c r="B79" t="str">
        <f>TRIM(Indice2026!$N$3)</f>
        <v>Delitos sexuales</v>
      </c>
      <c r="C79" s="59">
        <f>Indice2026!N26</f>
        <v>7.5445874020479557</v>
      </c>
      <c r="D79" t="str">
        <f>TRIM(Indice2026!$N$5)</f>
        <v>Carpetas de investigación de delitos de acoso y hostigamiento sexual por cada 100 mil mujeres</v>
      </c>
      <c r="E79" t="str">
        <f>TRIM(Indice2026!$N$6)</f>
        <v>Tasa</v>
      </c>
      <c r="F79" t="s">
        <v>142</v>
      </c>
    </row>
    <row r="80" spans="1:6" x14ac:dyDescent="0.3">
      <c r="A80" t="s">
        <v>25</v>
      </c>
      <c r="B80" t="str">
        <f>TRIM(Indice2026!$N$3)</f>
        <v>Delitos sexuales</v>
      </c>
      <c r="C80" s="59">
        <f>Indice2026!N28</f>
        <v>11.384070664876193</v>
      </c>
      <c r="D80" t="str">
        <f>TRIM(Indice2026!$N$5)</f>
        <v>Carpetas de investigación de delitos de acoso y hostigamiento sexual por cada 100 mil mujeres</v>
      </c>
      <c r="E80" t="str">
        <f>TRIM(Indice2026!$N$6)</f>
        <v>Tasa</v>
      </c>
      <c r="F80" t="s">
        <v>142</v>
      </c>
    </row>
    <row r="81" spans="1:6" x14ac:dyDescent="0.3">
      <c r="A81" t="s">
        <v>26</v>
      </c>
      <c r="B81" t="str">
        <f>TRIM(Indice2026!$N$3)</f>
        <v>Delitos sexuales</v>
      </c>
      <c r="C81" s="59">
        <f>Indice2026!N29</f>
        <v>11.673697558973355</v>
      </c>
      <c r="D81" t="str">
        <f>TRIM(Indice2026!$N$5)</f>
        <v>Carpetas de investigación de delitos de acoso y hostigamiento sexual por cada 100 mil mujeres</v>
      </c>
      <c r="E81" t="str">
        <f>TRIM(Indice2026!$N$6)</f>
        <v>Tasa</v>
      </c>
      <c r="F81" t="s">
        <v>142</v>
      </c>
    </row>
    <row r="82" spans="1:6" x14ac:dyDescent="0.3">
      <c r="A82" t="s">
        <v>0</v>
      </c>
      <c r="B82" t="str">
        <f>TRIM(Indice2026!$N$3)</f>
        <v>Delitos sexuales</v>
      </c>
      <c r="C82" s="59">
        <f>Indice2026!N27</f>
        <v>32.397475693944614</v>
      </c>
      <c r="D82" t="str">
        <f>TRIM(Indice2026!$N$5)</f>
        <v>Carpetas de investigación de delitos de acoso y hostigamiento sexual por cada 100 mil mujeres</v>
      </c>
      <c r="E82" t="str">
        <f>TRIM(Indice2026!$N$6)</f>
        <v>Tasa</v>
      </c>
      <c r="F82" t="s">
        <v>142</v>
      </c>
    </row>
    <row r="83" spans="1:6" x14ac:dyDescent="0.3">
      <c r="A83" t="s">
        <v>27</v>
      </c>
      <c r="B83" t="str">
        <f>TRIM(Indice2026!$N$3)</f>
        <v>Delitos sexuales</v>
      </c>
      <c r="C83" s="59">
        <f>Indice2026!N30</f>
        <v>9.8808903580475356</v>
      </c>
      <c r="D83" t="str">
        <f>TRIM(Indice2026!$N$5)</f>
        <v>Carpetas de investigación de delitos de acoso y hostigamiento sexual por cada 100 mil mujeres</v>
      </c>
      <c r="E83" t="str">
        <f>TRIM(Indice2026!$N$6)</f>
        <v>Tasa</v>
      </c>
      <c r="F83" t="s">
        <v>142</v>
      </c>
    </row>
    <row r="84" spans="1:6" x14ac:dyDescent="0.3">
      <c r="A84" t="s">
        <v>28</v>
      </c>
      <c r="B84" t="str">
        <f>TRIM(Indice2026!$N$3)</f>
        <v>Delitos sexuales</v>
      </c>
      <c r="C84" s="59">
        <f>Indice2026!N31</f>
        <v>28.131554174387439</v>
      </c>
      <c r="D84" t="str">
        <f>TRIM(Indice2026!$N$5)</f>
        <v>Carpetas de investigación de delitos de acoso y hostigamiento sexual por cada 100 mil mujeres</v>
      </c>
      <c r="E84" t="str">
        <f>TRIM(Indice2026!$N$6)</f>
        <v>Tasa</v>
      </c>
      <c r="F84" t="s">
        <v>142</v>
      </c>
    </row>
    <row r="85" spans="1:6" x14ac:dyDescent="0.3">
      <c r="A85" t="s">
        <v>29</v>
      </c>
      <c r="B85" t="str">
        <f>TRIM(Indice2026!$N$3)</f>
        <v>Delitos sexuales</v>
      </c>
      <c r="C85" s="59">
        <f>Indice2026!N32</f>
        <v>11.759369697784198</v>
      </c>
      <c r="D85" t="str">
        <f>TRIM(Indice2026!$N$5)</f>
        <v>Carpetas de investigación de delitos de acoso y hostigamiento sexual por cada 100 mil mujeres</v>
      </c>
      <c r="E85" t="str">
        <f>TRIM(Indice2026!$N$6)</f>
        <v>Tasa</v>
      </c>
      <c r="F85" t="s">
        <v>142</v>
      </c>
    </row>
    <row r="86" spans="1:6" x14ac:dyDescent="0.3">
      <c r="A86" t="s">
        <v>30</v>
      </c>
      <c r="B86" t="str">
        <f>TRIM(Indice2026!$N$3)</f>
        <v>Delitos sexuales</v>
      </c>
      <c r="C86" s="59">
        <f>Indice2026!N33</f>
        <v>14.851964950454773</v>
      </c>
      <c r="D86" t="str">
        <f>TRIM(Indice2026!$N$5)</f>
        <v>Carpetas de investigación de delitos de acoso y hostigamiento sexual por cada 100 mil mujeres</v>
      </c>
      <c r="E86" t="str">
        <f>TRIM(Indice2026!$N$6)</f>
        <v>Tasa</v>
      </c>
      <c r="F86" t="s">
        <v>142</v>
      </c>
    </row>
    <row r="87" spans="1:6" x14ac:dyDescent="0.3">
      <c r="A87" t="s">
        <v>31</v>
      </c>
      <c r="B87" t="str">
        <f>TRIM(Indice2026!$N$3)</f>
        <v>Delitos sexuales</v>
      </c>
      <c r="C87" s="59">
        <f>Indice2026!N34</f>
        <v>62.749492054317848</v>
      </c>
      <c r="D87" t="str">
        <f>TRIM(Indice2026!$N$5)</f>
        <v>Carpetas de investigación de delitos de acoso y hostigamiento sexual por cada 100 mil mujeres</v>
      </c>
      <c r="E87" t="str">
        <f>TRIM(Indice2026!$N$6)</f>
        <v>Tasa</v>
      </c>
      <c r="F87" t="s">
        <v>142</v>
      </c>
    </row>
    <row r="88" spans="1:6" x14ac:dyDescent="0.3">
      <c r="A88" t="s">
        <v>32</v>
      </c>
      <c r="B88" t="str">
        <f>TRIM(Indice2026!$N$3)</f>
        <v>Delitos sexuales</v>
      </c>
      <c r="C88" s="59">
        <f>Indice2026!N35</f>
        <v>34.964030155278614</v>
      </c>
      <c r="D88" t="str">
        <f>TRIM(Indice2026!$N$5)</f>
        <v>Carpetas de investigación de delitos de acoso y hostigamiento sexual por cada 100 mil mujeres</v>
      </c>
      <c r="E88" t="str">
        <f>TRIM(Indice2026!$N$6)</f>
        <v>Tasa</v>
      </c>
      <c r="F88" t="s">
        <v>142</v>
      </c>
    </row>
    <row r="89" spans="1:6" x14ac:dyDescent="0.3">
      <c r="A89" t="s">
        <v>33</v>
      </c>
      <c r="B89" t="str">
        <f>TRIM(Indice2026!$N$3)</f>
        <v>Delitos sexuales</v>
      </c>
      <c r="C89" s="59">
        <f>Indice2026!N36</f>
        <v>23.913300564706713</v>
      </c>
      <c r="D89" t="str">
        <f>TRIM(Indice2026!$N$5)</f>
        <v>Carpetas de investigación de delitos de acoso y hostigamiento sexual por cada 100 mil mujeres</v>
      </c>
      <c r="E89" t="str">
        <f>TRIM(Indice2026!$N$6)</f>
        <v>Tasa</v>
      </c>
      <c r="F89" t="s">
        <v>142</v>
      </c>
    </row>
    <row r="90" spans="1:6" x14ac:dyDescent="0.3">
      <c r="A90" t="s">
        <v>34</v>
      </c>
      <c r="B90" t="str">
        <f>TRIM(Indice2026!$N$3)</f>
        <v>Delitos sexuales</v>
      </c>
      <c r="C90" s="59">
        <f>Indice2026!N37</f>
        <v>14.974236236284748</v>
      </c>
      <c r="D90" t="str">
        <f>TRIM(Indice2026!$N$5)</f>
        <v>Carpetas de investigación de delitos de acoso y hostigamiento sexual por cada 100 mil mujeres</v>
      </c>
      <c r="E90" t="str">
        <f>TRIM(Indice2026!$N$6)</f>
        <v>Tasa</v>
      </c>
      <c r="F90" t="s">
        <v>142</v>
      </c>
    </row>
    <row r="91" spans="1:6" x14ac:dyDescent="0.3">
      <c r="A91" t="s">
        <v>35</v>
      </c>
      <c r="B91" t="str">
        <f>TRIM(Indice2026!$N$3)</f>
        <v>Delitos sexuales</v>
      </c>
      <c r="C91" s="59">
        <f>Indice2026!N38</f>
        <v>9.8153936165298923</v>
      </c>
      <c r="D91" t="str">
        <f>TRIM(Indice2026!$N$5)</f>
        <v>Carpetas de investigación de delitos de acoso y hostigamiento sexual por cada 100 mil mujeres</v>
      </c>
      <c r="E91" t="str">
        <f>TRIM(Indice2026!$N$6)</f>
        <v>Tasa</v>
      </c>
      <c r="F91" t="s">
        <v>142</v>
      </c>
    </row>
    <row r="92" spans="1:6" x14ac:dyDescent="0.3">
      <c r="A92" t="s">
        <v>36</v>
      </c>
      <c r="B92" t="str">
        <f>TRIM(Indice2026!$N$3)</f>
        <v>Delitos sexuales</v>
      </c>
      <c r="C92" s="59">
        <f>Indice2026!N39</f>
        <v>18.039144944529628</v>
      </c>
      <c r="D92" t="str">
        <f>TRIM(Indice2026!$N$5)</f>
        <v>Carpetas de investigación de delitos de acoso y hostigamiento sexual por cada 100 mil mujeres</v>
      </c>
      <c r="E92" t="str">
        <f>TRIM(Indice2026!$N$6)</f>
        <v>Tasa</v>
      </c>
      <c r="F92" t="s">
        <v>142</v>
      </c>
    </row>
    <row r="93" spans="1:6" x14ac:dyDescent="0.3">
      <c r="A93" t="s">
        <v>37</v>
      </c>
      <c r="B93" t="str">
        <f>TRIM(Indice2026!$N$3)</f>
        <v>Delitos sexuales</v>
      </c>
      <c r="C93" s="59">
        <f>Indice2026!N40</f>
        <v>10.041763164487252</v>
      </c>
      <c r="D93" t="str">
        <f>TRIM(Indice2026!$N$5)</f>
        <v>Carpetas de investigación de delitos de acoso y hostigamiento sexual por cada 100 mil mujeres</v>
      </c>
      <c r="E93" t="str">
        <f>TRIM(Indice2026!$N$6)</f>
        <v>Tasa</v>
      </c>
      <c r="F93" t="s">
        <v>142</v>
      </c>
    </row>
    <row r="94" spans="1:6" x14ac:dyDescent="0.3">
      <c r="A94" t="s">
        <v>38</v>
      </c>
      <c r="B94" t="str">
        <f>TRIM(Indice2026!$N$3)</f>
        <v>Delitos sexuales</v>
      </c>
      <c r="C94" s="59">
        <f>Indice2026!N41</f>
        <v>0.26777704882914483</v>
      </c>
      <c r="D94" t="str">
        <f>TRIM(Indice2026!$N$5)</f>
        <v>Carpetas de investigación de delitos de acoso y hostigamiento sexual por cada 100 mil mujeres</v>
      </c>
      <c r="E94" t="str">
        <f>TRIM(Indice2026!$N$6)</f>
        <v>Tasa</v>
      </c>
      <c r="F94" t="s">
        <v>142</v>
      </c>
    </row>
    <row r="95" spans="1:6" x14ac:dyDescent="0.3">
      <c r="A95" t="s">
        <v>39</v>
      </c>
      <c r="B95" t="str">
        <f>TRIM(Indice2026!$N$3)</f>
        <v>Delitos sexuales</v>
      </c>
      <c r="C95" s="59">
        <f>Indice2026!N42</f>
        <v>12.245204415568605</v>
      </c>
      <c r="D95" t="str">
        <f>TRIM(Indice2026!$N$5)</f>
        <v>Carpetas de investigación de delitos de acoso y hostigamiento sexual por cada 100 mil mujeres</v>
      </c>
      <c r="E95" t="str">
        <f>TRIM(Indice2026!$N$6)</f>
        <v>Tasa</v>
      </c>
      <c r="F95" t="s">
        <v>142</v>
      </c>
    </row>
    <row r="96" spans="1:6" x14ac:dyDescent="0.3">
      <c r="A96" t="s">
        <v>40</v>
      </c>
      <c r="B96" t="str">
        <f>TRIM(Indice2026!$N$3)</f>
        <v>Delitos sexuales</v>
      </c>
      <c r="C96" s="59">
        <f>Indice2026!N43</f>
        <v>1.7240271393217677</v>
      </c>
      <c r="D96" t="str">
        <f>TRIM(Indice2026!$N$5)</f>
        <v>Carpetas de investigación de delitos de acoso y hostigamiento sexual por cada 100 mil mujeres</v>
      </c>
      <c r="E96" t="str">
        <f>TRIM(Indice2026!$N$6)</f>
        <v>Tasa</v>
      </c>
      <c r="F96" t="s">
        <v>142</v>
      </c>
    </row>
    <row r="97" spans="1:6" x14ac:dyDescent="0.3">
      <c r="A97" t="s">
        <v>41</v>
      </c>
      <c r="B97" t="str">
        <f>TRIM(Indice2026!$N$3)</f>
        <v>Delitos sexuales</v>
      </c>
      <c r="C97" s="59">
        <f>Indice2026!N44</f>
        <v>18.170743274825064</v>
      </c>
      <c r="D97" t="str">
        <f>TRIM(Indice2026!$N$5)</f>
        <v>Carpetas de investigación de delitos de acoso y hostigamiento sexual por cada 100 mil mujeres</v>
      </c>
      <c r="E97" t="str">
        <f>TRIM(Indice2026!$N$6)</f>
        <v>Tasa</v>
      </c>
      <c r="F97" t="s">
        <v>142</v>
      </c>
    </row>
    <row r="98" spans="1:6" x14ac:dyDescent="0.3">
      <c r="A98" t="s">
        <v>7</v>
      </c>
      <c r="B98" t="str">
        <f>TRIM(Indice2026!$P$3)</f>
        <v>Dependencia de ingresos</v>
      </c>
      <c r="C98" s="59">
        <f>Indice2026!P13</f>
        <v>22.440226757265826</v>
      </c>
      <c r="D98" t="str">
        <f>TRIM(Indice2026!$P$5)</f>
        <v>Proporción de mujeres de 15 años y más que no percibe ingresos monetarios directos</v>
      </c>
      <c r="E98" t="str">
        <f>TRIM(Indice2026!$P$6)</f>
        <v>Porcentaje</v>
      </c>
      <c r="F98" t="s">
        <v>51</v>
      </c>
    </row>
    <row r="99" spans="1:6" x14ac:dyDescent="0.3">
      <c r="A99" t="s">
        <v>12</v>
      </c>
      <c r="B99" t="str">
        <f>TRIM(Indice2026!$P$3)</f>
        <v>Dependencia de ingresos</v>
      </c>
      <c r="C99" s="59">
        <f>Indice2026!P14</f>
        <v>18.153912923398629</v>
      </c>
      <c r="D99" t="str">
        <f>TRIM(Indice2026!$P$5)</f>
        <v>Proporción de mujeres de 15 años y más que no percibe ingresos monetarios directos</v>
      </c>
      <c r="E99" t="str">
        <f>TRIM(Indice2026!$P$6)</f>
        <v>Porcentaje</v>
      </c>
      <c r="F99" t="s">
        <v>51</v>
      </c>
    </row>
    <row r="100" spans="1:6" x14ac:dyDescent="0.3">
      <c r="A100" t="s">
        <v>13</v>
      </c>
      <c r="B100" t="str">
        <f>TRIM(Indice2026!$P$3)</f>
        <v>Dependencia de ingresos</v>
      </c>
      <c r="C100" s="59">
        <f>Indice2026!P15</f>
        <v>17.134063327728999</v>
      </c>
      <c r="D100" t="str">
        <f>TRIM(Indice2026!$P$5)</f>
        <v>Proporción de mujeres de 15 años y más que no percibe ingresos monetarios directos</v>
      </c>
      <c r="E100" t="str">
        <f>TRIM(Indice2026!$P$6)</f>
        <v>Porcentaje</v>
      </c>
      <c r="F100" t="s">
        <v>51</v>
      </c>
    </row>
    <row r="101" spans="1:6" x14ac:dyDescent="0.3">
      <c r="A101" t="s">
        <v>14</v>
      </c>
      <c r="B101" t="str">
        <f>TRIM(Indice2026!$P$3)</f>
        <v>Dependencia de ingresos</v>
      </c>
      <c r="C101" s="59">
        <f>Indice2026!P16</f>
        <v>22.108955346536874</v>
      </c>
      <c r="D101" t="str">
        <f>TRIM(Indice2026!$P$5)</f>
        <v>Proporción de mujeres de 15 años y más que no percibe ingresos monetarios directos</v>
      </c>
      <c r="E101" t="str">
        <f>TRIM(Indice2026!$P$6)</f>
        <v>Porcentaje</v>
      </c>
      <c r="F101" t="s">
        <v>51</v>
      </c>
    </row>
    <row r="102" spans="1:6" x14ac:dyDescent="0.3">
      <c r="A102" t="s">
        <v>15</v>
      </c>
      <c r="B102" t="str">
        <f>TRIM(Indice2026!$P$3)</f>
        <v>Dependencia de ingresos</v>
      </c>
      <c r="C102" s="59">
        <f>Indice2026!P19</f>
        <v>27.776092850437539</v>
      </c>
      <c r="D102" t="str">
        <f>TRIM(Indice2026!$P$5)</f>
        <v>Proporción de mujeres de 15 años y más que no percibe ingresos monetarios directos</v>
      </c>
      <c r="E102" t="str">
        <f>TRIM(Indice2026!$P$6)</f>
        <v>Porcentaje</v>
      </c>
      <c r="F102" t="s">
        <v>51</v>
      </c>
    </row>
    <row r="103" spans="1:6" x14ac:dyDescent="0.3">
      <c r="A103" t="s">
        <v>16</v>
      </c>
      <c r="B103" t="str">
        <f>TRIM(Indice2026!$P$3)</f>
        <v>Dependencia de ingresos</v>
      </c>
      <c r="C103" s="59">
        <f>Indice2026!P20</f>
        <v>19.343119365995808</v>
      </c>
      <c r="D103" t="str">
        <f>TRIM(Indice2026!$P$5)</f>
        <v>Proporción de mujeres de 15 años y más que no percibe ingresos monetarios directos</v>
      </c>
      <c r="E103" t="str">
        <f>TRIM(Indice2026!$P$6)</f>
        <v>Porcentaje</v>
      </c>
      <c r="F103" t="s">
        <v>51</v>
      </c>
    </row>
    <row r="104" spans="1:6" x14ac:dyDescent="0.3">
      <c r="A104" t="s">
        <v>17</v>
      </c>
      <c r="B104" t="str">
        <f>TRIM(Indice2026!$P$3)</f>
        <v>Dependencia de ingresos</v>
      </c>
      <c r="C104" s="59">
        <f>Indice2026!P21</f>
        <v>20.974188835308972</v>
      </c>
      <c r="D104" t="str">
        <f>TRIM(Indice2026!$P$5)</f>
        <v>Proporción de mujeres de 15 años y más que no percibe ingresos monetarios directos</v>
      </c>
      <c r="E104" t="str">
        <f>TRIM(Indice2026!$P$6)</f>
        <v>Porcentaje</v>
      </c>
      <c r="F104" t="s">
        <v>51</v>
      </c>
    </row>
    <row r="105" spans="1:6" x14ac:dyDescent="0.3">
      <c r="A105" t="s">
        <v>18</v>
      </c>
      <c r="B105" t="str">
        <f>TRIM(Indice2026!$P$3)</f>
        <v>Dependencia de ingresos</v>
      </c>
      <c r="C105" s="59">
        <f>Indice2026!P17</f>
        <v>19.263250321936287</v>
      </c>
      <c r="D105" t="str">
        <f>TRIM(Indice2026!$P$5)</f>
        <v>Proporción de mujeres de 15 años y más que no percibe ingresos monetarios directos</v>
      </c>
      <c r="E105" t="str">
        <f>TRIM(Indice2026!$P$6)</f>
        <v>Porcentaje</v>
      </c>
      <c r="F105" t="s">
        <v>51</v>
      </c>
    </row>
    <row r="106" spans="1:6" x14ac:dyDescent="0.3">
      <c r="A106" t="s">
        <v>19</v>
      </c>
      <c r="B106" t="str">
        <f>TRIM(Indice2026!$P$3)</f>
        <v>Dependencia de ingresos</v>
      </c>
      <c r="C106" s="59">
        <f>Indice2026!P18</f>
        <v>21.643646697452823</v>
      </c>
      <c r="D106" t="str">
        <f>TRIM(Indice2026!$P$5)</f>
        <v>Proporción de mujeres de 15 años y más que no percibe ingresos monetarios directos</v>
      </c>
      <c r="E106" t="str">
        <f>TRIM(Indice2026!$P$6)</f>
        <v>Porcentaje</v>
      </c>
      <c r="F106" t="s">
        <v>51</v>
      </c>
    </row>
    <row r="107" spans="1:6" x14ac:dyDescent="0.3">
      <c r="A107" t="s">
        <v>20</v>
      </c>
      <c r="B107" t="str">
        <f>TRIM(Indice2026!$P$3)</f>
        <v>Dependencia de ingresos</v>
      </c>
      <c r="C107" s="59">
        <f>Indice2026!P22</f>
        <v>26.332365354227615</v>
      </c>
      <c r="D107" t="str">
        <f>TRIM(Indice2026!$P$5)</f>
        <v>Proporción de mujeres de 15 años y más que no percibe ingresos monetarios directos</v>
      </c>
      <c r="E107" t="str">
        <f>TRIM(Indice2026!$P$6)</f>
        <v>Porcentaje</v>
      </c>
      <c r="F107" t="s">
        <v>51</v>
      </c>
    </row>
    <row r="108" spans="1:6" x14ac:dyDescent="0.3">
      <c r="A108" t="s">
        <v>21</v>
      </c>
      <c r="B108" t="str">
        <f>TRIM(Indice2026!$P$3)</f>
        <v>Dependencia de ingresos</v>
      </c>
      <c r="C108" s="59">
        <f>Indice2026!P23</f>
        <v>30.180147035299989</v>
      </c>
      <c r="D108" t="str">
        <f>TRIM(Indice2026!$P$5)</f>
        <v>Proporción de mujeres de 15 años y más que no percibe ingresos monetarios directos</v>
      </c>
      <c r="E108" t="str">
        <f>TRIM(Indice2026!$P$6)</f>
        <v>Porcentaje</v>
      </c>
      <c r="F108" t="s">
        <v>51</v>
      </c>
    </row>
    <row r="109" spans="1:6" x14ac:dyDescent="0.3">
      <c r="A109" t="s">
        <v>22</v>
      </c>
      <c r="B109" t="str">
        <f>TRIM(Indice2026!$P$3)</f>
        <v>Dependencia de ingresos</v>
      </c>
      <c r="C109" s="59">
        <f>Indice2026!P24</f>
        <v>34.896883979108125</v>
      </c>
      <c r="D109" t="str">
        <f>TRIM(Indice2026!$P$5)</f>
        <v>Proporción de mujeres de 15 años y más que no percibe ingresos monetarios directos</v>
      </c>
      <c r="E109" t="str">
        <f>TRIM(Indice2026!$P$6)</f>
        <v>Porcentaje</v>
      </c>
      <c r="F109" t="s">
        <v>51</v>
      </c>
    </row>
    <row r="110" spans="1:6" x14ac:dyDescent="0.3">
      <c r="A110" t="s">
        <v>23</v>
      </c>
      <c r="B110" t="str">
        <f>TRIM(Indice2026!$P$3)</f>
        <v>Dependencia de ingresos</v>
      </c>
      <c r="C110" s="59">
        <f>Indice2026!P25</f>
        <v>29.994471425077528</v>
      </c>
      <c r="D110" t="str">
        <f>TRIM(Indice2026!$P$5)</f>
        <v>Proporción de mujeres de 15 años y más que no percibe ingresos monetarios directos</v>
      </c>
      <c r="E110" t="str">
        <f>TRIM(Indice2026!$P$6)</f>
        <v>Porcentaje</v>
      </c>
      <c r="F110" t="s">
        <v>51</v>
      </c>
    </row>
    <row r="111" spans="1:6" x14ac:dyDescent="0.3">
      <c r="A111" t="s">
        <v>24</v>
      </c>
      <c r="B111" t="str">
        <f>TRIM(Indice2026!$P$3)</f>
        <v>Dependencia de ingresos</v>
      </c>
      <c r="C111" s="59">
        <f>Indice2026!P26</f>
        <v>18.897414162072923</v>
      </c>
      <c r="D111" t="str">
        <f>TRIM(Indice2026!$P$5)</f>
        <v>Proporción de mujeres de 15 años y más que no percibe ingresos monetarios directos</v>
      </c>
      <c r="E111" t="str">
        <f>TRIM(Indice2026!$P$6)</f>
        <v>Porcentaje</v>
      </c>
      <c r="F111" t="s">
        <v>51</v>
      </c>
    </row>
    <row r="112" spans="1:6" x14ac:dyDescent="0.3">
      <c r="A112" t="s">
        <v>25</v>
      </c>
      <c r="B112" t="str">
        <f>TRIM(Indice2026!$P$3)</f>
        <v>Dependencia de ingresos</v>
      </c>
      <c r="C112" s="59">
        <f>Indice2026!P28</f>
        <v>27.730043943349891</v>
      </c>
      <c r="D112" t="str">
        <f>TRIM(Indice2026!$P$5)</f>
        <v>Proporción de mujeres de 15 años y más que no percibe ingresos monetarios directos</v>
      </c>
      <c r="E112" t="str">
        <f>TRIM(Indice2026!$P$6)</f>
        <v>Porcentaje</v>
      </c>
      <c r="F112" t="s">
        <v>51</v>
      </c>
    </row>
    <row r="113" spans="1:6" x14ac:dyDescent="0.3">
      <c r="A113" t="s">
        <v>26</v>
      </c>
      <c r="B113" t="str">
        <f>TRIM(Indice2026!$P$3)</f>
        <v>Dependencia de ingresos</v>
      </c>
      <c r="C113" s="59">
        <f>Indice2026!P29</f>
        <v>24.602017877337111</v>
      </c>
      <c r="D113" t="str">
        <f>TRIM(Indice2026!$P$5)</f>
        <v>Proporción de mujeres de 15 años y más que no percibe ingresos monetarios directos</v>
      </c>
      <c r="E113" t="str">
        <f>TRIM(Indice2026!$P$6)</f>
        <v>Porcentaje</v>
      </c>
      <c r="F113" t="s">
        <v>51</v>
      </c>
    </row>
    <row r="114" spans="1:6" x14ac:dyDescent="0.3">
      <c r="A114" t="s">
        <v>0</v>
      </c>
      <c r="B114" t="str">
        <f>TRIM(Indice2026!$P$3)</f>
        <v>Dependencia de ingresos</v>
      </c>
      <c r="C114" s="59">
        <f>Indice2026!P27</f>
        <v>26.983964841891439</v>
      </c>
      <c r="D114" t="str">
        <f>TRIM(Indice2026!$P$5)</f>
        <v>Proporción de mujeres de 15 años y más que no percibe ingresos monetarios directos</v>
      </c>
      <c r="E114" t="str">
        <f>TRIM(Indice2026!$P$6)</f>
        <v>Porcentaje</v>
      </c>
      <c r="F114" t="s">
        <v>51</v>
      </c>
    </row>
    <row r="115" spans="1:6" x14ac:dyDescent="0.3">
      <c r="A115" t="s">
        <v>27</v>
      </c>
      <c r="B115" t="str">
        <f>TRIM(Indice2026!$P$3)</f>
        <v>Dependencia de ingresos</v>
      </c>
      <c r="C115" s="59">
        <f>Indice2026!P30</f>
        <v>24.584092966081695</v>
      </c>
      <c r="D115" t="str">
        <f>TRIM(Indice2026!$P$5)</f>
        <v>Proporción de mujeres de 15 años y más que no percibe ingresos monetarios directos</v>
      </c>
      <c r="E115" t="str">
        <f>TRIM(Indice2026!$P$6)</f>
        <v>Porcentaje</v>
      </c>
      <c r="F115" t="s">
        <v>51</v>
      </c>
    </row>
    <row r="116" spans="1:6" x14ac:dyDescent="0.3">
      <c r="A116" t="s">
        <v>28</v>
      </c>
      <c r="B116" t="str">
        <f>TRIM(Indice2026!$P$3)</f>
        <v>Dependencia de ingresos</v>
      </c>
      <c r="C116" s="59">
        <f>Indice2026!P31</f>
        <v>18.858728155094461</v>
      </c>
      <c r="D116" t="str">
        <f>TRIM(Indice2026!$P$5)</f>
        <v>Proporción de mujeres de 15 años y más que no percibe ingresos monetarios directos</v>
      </c>
      <c r="E116" t="str">
        <f>TRIM(Indice2026!$P$6)</f>
        <v>Porcentaje</v>
      </c>
      <c r="F116" t="s">
        <v>51</v>
      </c>
    </row>
    <row r="117" spans="1:6" x14ac:dyDescent="0.3">
      <c r="A117" t="s">
        <v>29</v>
      </c>
      <c r="B117" t="str">
        <f>TRIM(Indice2026!$P$3)</f>
        <v>Dependencia de ingresos</v>
      </c>
      <c r="C117" s="59">
        <f>Indice2026!P32</f>
        <v>33.203477962508899</v>
      </c>
      <c r="D117" t="str">
        <f>TRIM(Indice2026!$P$5)</f>
        <v>Proporción de mujeres de 15 años y más que no percibe ingresos monetarios directos</v>
      </c>
      <c r="E117" t="str">
        <f>TRIM(Indice2026!$P$6)</f>
        <v>Porcentaje</v>
      </c>
      <c r="F117" t="s">
        <v>51</v>
      </c>
    </row>
    <row r="118" spans="1:6" x14ac:dyDescent="0.3">
      <c r="A118" t="s">
        <v>30</v>
      </c>
      <c r="B118" t="str">
        <f>TRIM(Indice2026!$P$3)</f>
        <v>Dependencia de ingresos</v>
      </c>
      <c r="C118" s="59">
        <f>Indice2026!P33</f>
        <v>27.381731059156966</v>
      </c>
      <c r="D118" t="str">
        <f>TRIM(Indice2026!$P$5)</f>
        <v>Proporción de mujeres de 15 años y más que no percibe ingresos monetarios directos</v>
      </c>
      <c r="E118" t="str">
        <f>TRIM(Indice2026!$P$6)</f>
        <v>Porcentaje</v>
      </c>
      <c r="F118" t="s">
        <v>51</v>
      </c>
    </row>
    <row r="119" spans="1:6" x14ac:dyDescent="0.3">
      <c r="A119" t="s">
        <v>31</v>
      </c>
      <c r="B119" t="str">
        <f>TRIM(Indice2026!$P$3)</f>
        <v>Dependencia de ingresos</v>
      </c>
      <c r="C119" s="59">
        <f>Indice2026!P34</f>
        <v>20.213846657139413</v>
      </c>
      <c r="D119" t="str">
        <f>TRIM(Indice2026!$P$5)</f>
        <v>Proporción de mujeres de 15 años y más que no percibe ingresos monetarios directos</v>
      </c>
      <c r="E119" t="str">
        <f>TRIM(Indice2026!$P$6)</f>
        <v>Porcentaje</v>
      </c>
      <c r="F119" t="s">
        <v>51</v>
      </c>
    </row>
    <row r="120" spans="1:6" x14ac:dyDescent="0.3">
      <c r="A120" t="s">
        <v>32</v>
      </c>
      <c r="B120" t="str">
        <f>TRIM(Indice2026!$P$3)</f>
        <v>Dependencia de ingresos</v>
      </c>
      <c r="C120" s="59">
        <f>Indice2026!P35</f>
        <v>21.346800259145006</v>
      </c>
      <c r="D120" t="str">
        <f>TRIM(Indice2026!$P$5)</f>
        <v>Proporción de mujeres de 15 años y más que no percibe ingresos monetarios directos</v>
      </c>
      <c r="E120" t="str">
        <f>TRIM(Indice2026!$P$6)</f>
        <v>Porcentaje</v>
      </c>
      <c r="F120" t="s">
        <v>51</v>
      </c>
    </row>
    <row r="121" spans="1:6" x14ac:dyDescent="0.3">
      <c r="A121" t="s">
        <v>33</v>
      </c>
      <c r="B121" t="str">
        <f>TRIM(Indice2026!$P$3)</f>
        <v>Dependencia de ingresos</v>
      </c>
      <c r="C121" s="59">
        <f>Indice2026!P36</f>
        <v>29.939331785420041</v>
      </c>
      <c r="D121" t="str">
        <f>TRIM(Indice2026!$P$5)</f>
        <v>Proporción de mujeres de 15 años y más que no percibe ingresos monetarios directos</v>
      </c>
      <c r="E121" t="str">
        <f>TRIM(Indice2026!$P$6)</f>
        <v>Porcentaje</v>
      </c>
      <c r="F121" t="s">
        <v>51</v>
      </c>
    </row>
    <row r="122" spans="1:6" x14ac:dyDescent="0.3">
      <c r="A122" t="s">
        <v>34</v>
      </c>
      <c r="B122" t="str">
        <f>TRIM(Indice2026!$P$3)</f>
        <v>Dependencia de ingresos</v>
      </c>
      <c r="C122" s="59">
        <f>Indice2026!P37</f>
        <v>30.239859349491393</v>
      </c>
      <c r="D122" t="str">
        <f>TRIM(Indice2026!$P$5)</f>
        <v>Proporción de mujeres de 15 años y más que no percibe ingresos monetarios directos</v>
      </c>
      <c r="E122" t="str">
        <f>TRIM(Indice2026!$P$6)</f>
        <v>Porcentaje</v>
      </c>
      <c r="F122" t="s">
        <v>51</v>
      </c>
    </row>
    <row r="123" spans="1:6" x14ac:dyDescent="0.3">
      <c r="A123" t="s">
        <v>35</v>
      </c>
      <c r="B123" t="str">
        <f>TRIM(Indice2026!$P$3)</f>
        <v>Dependencia de ingresos</v>
      </c>
      <c r="C123" s="59">
        <f>Indice2026!P38</f>
        <v>24.231895870483534</v>
      </c>
      <c r="D123" t="str">
        <f>TRIM(Indice2026!$P$5)</f>
        <v>Proporción de mujeres de 15 años y más que no percibe ingresos monetarios directos</v>
      </c>
      <c r="E123" t="str">
        <f>TRIM(Indice2026!$P$6)</f>
        <v>Porcentaje</v>
      </c>
      <c r="F123" t="s">
        <v>51</v>
      </c>
    </row>
    <row r="124" spans="1:6" x14ac:dyDescent="0.3">
      <c r="A124" t="s">
        <v>36</v>
      </c>
      <c r="B124" t="str">
        <f>TRIM(Indice2026!$P$3)</f>
        <v>Dependencia de ingresos</v>
      </c>
      <c r="C124" s="59">
        <f>Indice2026!P39</f>
        <v>28.809802465939438</v>
      </c>
      <c r="D124" t="str">
        <f>TRIM(Indice2026!$P$5)</f>
        <v>Proporción de mujeres de 15 años y más que no percibe ingresos monetarios directos</v>
      </c>
      <c r="E124" t="str">
        <f>TRIM(Indice2026!$P$6)</f>
        <v>Porcentaje</v>
      </c>
      <c r="F124" t="s">
        <v>51</v>
      </c>
    </row>
    <row r="125" spans="1:6" x14ac:dyDescent="0.3">
      <c r="A125" t="s">
        <v>37</v>
      </c>
      <c r="B125" t="str">
        <f>TRIM(Indice2026!$P$3)</f>
        <v>Dependencia de ingresos</v>
      </c>
      <c r="C125" s="59">
        <f>Indice2026!P40</f>
        <v>27.242235704340899</v>
      </c>
      <c r="D125" t="str">
        <f>TRIM(Indice2026!$P$5)</f>
        <v>Proporción de mujeres de 15 años y más que no percibe ingresos monetarios directos</v>
      </c>
      <c r="E125" t="str">
        <f>TRIM(Indice2026!$P$6)</f>
        <v>Porcentaje</v>
      </c>
      <c r="F125" t="s">
        <v>51</v>
      </c>
    </row>
    <row r="126" spans="1:6" x14ac:dyDescent="0.3">
      <c r="A126" t="s">
        <v>38</v>
      </c>
      <c r="B126" t="str">
        <f>TRIM(Indice2026!$P$3)</f>
        <v>Dependencia de ingresos</v>
      </c>
      <c r="C126" s="59">
        <f>Indice2026!P41</f>
        <v>26.085186279550776</v>
      </c>
      <c r="D126" t="str">
        <f>TRIM(Indice2026!$P$5)</f>
        <v>Proporción de mujeres de 15 años y más que no percibe ingresos monetarios directos</v>
      </c>
      <c r="E126" t="str">
        <f>TRIM(Indice2026!$P$6)</f>
        <v>Porcentaje</v>
      </c>
      <c r="F126" t="s">
        <v>51</v>
      </c>
    </row>
    <row r="127" spans="1:6" x14ac:dyDescent="0.3">
      <c r="A127" t="s">
        <v>39</v>
      </c>
      <c r="B127" t="str">
        <f>TRIM(Indice2026!$P$3)</f>
        <v>Dependencia de ingresos</v>
      </c>
      <c r="C127" s="59">
        <f>Indice2026!P42</f>
        <v>37.655944768169903</v>
      </c>
      <c r="D127" t="str">
        <f>TRIM(Indice2026!$P$5)</f>
        <v>Proporción de mujeres de 15 años y más que no percibe ingresos monetarios directos</v>
      </c>
      <c r="E127" t="str">
        <f>TRIM(Indice2026!$P$6)</f>
        <v>Porcentaje</v>
      </c>
      <c r="F127" t="s">
        <v>51</v>
      </c>
    </row>
    <row r="128" spans="1:6" x14ac:dyDescent="0.3">
      <c r="A128" t="s">
        <v>40</v>
      </c>
      <c r="B128" t="str">
        <f>TRIM(Indice2026!$P$3)</f>
        <v>Dependencia de ingresos</v>
      </c>
      <c r="C128" s="59">
        <f>Indice2026!P43</f>
        <v>24.870674723087561</v>
      </c>
      <c r="D128" t="str">
        <f>TRIM(Indice2026!$P$5)</f>
        <v>Proporción de mujeres de 15 años y más que no percibe ingresos monetarios directos</v>
      </c>
      <c r="E128" t="str">
        <f>TRIM(Indice2026!$P$6)</f>
        <v>Porcentaje</v>
      </c>
      <c r="F128" t="s">
        <v>51</v>
      </c>
    </row>
    <row r="129" spans="1:6" x14ac:dyDescent="0.3">
      <c r="A129" t="s">
        <v>41</v>
      </c>
      <c r="B129" t="str">
        <f>TRIM(Indice2026!$P$3)</f>
        <v>Dependencia de ingresos</v>
      </c>
      <c r="C129" s="59">
        <f>Indice2026!P44</f>
        <v>36.721016369664319</v>
      </c>
      <c r="D129" t="str">
        <f>TRIM(Indice2026!$P$5)</f>
        <v>Proporción de mujeres de 15 años y más que no percibe ingresos monetarios directos</v>
      </c>
      <c r="E129" t="str">
        <f>TRIM(Indice2026!$P$6)</f>
        <v>Porcentaje</v>
      </c>
      <c r="F129" t="s">
        <v>51</v>
      </c>
    </row>
    <row r="130" spans="1:6" x14ac:dyDescent="0.3">
      <c r="A130" t="s">
        <v>7</v>
      </c>
      <c r="B130" t="str">
        <f>TRIM(Indice2026!$E$3)</f>
        <v>Desigualdad en trabajo no remunerado</v>
      </c>
      <c r="C130" s="59">
        <f>Indice2026!E13</f>
        <v>57.39826697378524</v>
      </c>
      <c r="D130" t="str">
        <f>TRIM(Indice2026!$E$5)</f>
        <v>Porcentaje adicional de horas semanales que dedica una mujer al TNR en comparación con un hombre</v>
      </c>
      <c r="E130" t="str">
        <f>TRIM(Indice2026!$E$6)</f>
        <v>Porcentaje</v>
      </c>
      <c r="F130" t="s">
        <v>143</v>
      </c>
    </row>
    <row r="131" spans="1:6" x14ac:dyDescent="0.3">
      <c r="A131" t="s">
        <v>12</v>
      </c>
      <c r="B131" t="str">
        <f>TRIM(Indice2026!$E$3)</f>
        <v>Desigualdad en trabajo no remunerado</v>
      </c>
      <c r="C131" s="59">
        <f>Indice2026!E14</f>
        <v>48.100430506237636</v>
      </c>
      <c r="D131" t="str">
        <f>TRIM(Indice2026!$E$5)</f>
        <v>Porcentaje adicional de horas semanales que dedica una mujer al TNR en comparación con un hombre</v>
      </c>
      <c r="E131" t="str">
        <f>TRIM(Indice2026!$E$6)</f>
        <v>Porcentaje</v>
      </c>
      <c r="F131" t="s">
        <v>143</v>
      </c>
    </row>
    <row r="132" spans="1:6" x14ac:dyDescent="0.3">
      <c r="A132" t="s">
        <v>13</v>
      </c>
      <c r="B132" t="str">
        <f>TRIM(Indice2026!$E$3)</f>
        <v>Desigualdad en trabajo no remunerado</v>
      </c>
      <c r="C132" s="59">
        <f>Indice2026!E15</f>
        <v>52.344110854503469</v>
      </c>
      <c r="D132" t="str">
        <f>TRIM(Indice2026!$E$5)</f>
        <v>Porcentaje adicional de horas semanales que dedica una mujer al TNR en comparación con un hombre</v>
      </c>
      <c r="E132" t="str">
        <f>TRIM(Indice2026!$E$6)</f>
        <v>Porcentaje</v>
      </c>
      <c r="F132" t="s">
        <v>143</v>
      </c>
    </row>
    <row r="133" spans="1:6" x14ac:dyDescent="0.3">
      <c r="A133" t="s">
        <v>14</v>
      </c>
      <c r="B133" t="str">
        <f>TRIM(Indice2026!$E$3)</f>
        <v>Desigualdad en trabajo no remunerado</v>
      </c>
      <c r="C133" s="59">
        <f>Indice2026!E16</f>
        <v>58.265717121008699</v>
      </c>
      <c r="D133" t="str">
        <f>TRIM(Indice2026!$E$5)</f>
        <v>Porcentaje adicional de horas semanales que dedica una mujer al TNR en comparación con un hombre</v>
      </c>
      <c r="E133" t="str">
        <f>TRIM(Indice2026!$E$6)</f>
        <v>Porcentaje</v>
      </c>
      <c r="F133" t="s">
        <v>143</v>
      </c>
    </row>
    <row r="134" spans="1:6" x14ac:dyDescent="0.3">
      <c r="A134" t="s">
        <v>15</v>
      </c>
      <c r="B134" t="str">
        <f>TRIM(Indice2026!$E$3)</f>
        <v>Desigualdad en trabajo no remunerado</v>
      </c>
      <c r="C134" s="59">
        <f>Indice2026!E19</f>
        <v>67.174293763801117</v>
      </c>
      <c r="D134" t="str">
        <f>TRIM(Indice2026!$E$5)</f>
        <v>Porcentaje adicional de horas semanales que dedica una mujer al TNR en comparación con un hombre</v>
      </c>
      <c r="E134" t="str">
        <f>TRIM(Indice2026!$E$6)</f>
        <v>Porcentaje</v>
      </c>
      <c r="F134" t="s">
        <v>143</v>
      </c>
    </row>
    <row r="135" spans="1:6" x14ac:dyDescent="0.3">
      <c r="A135" t="s">
        <v>16</v>
      </c>
      <c r="B135" t="str">
        <f>TRIM(Indice2026!$E$3)</f>
        <v>Desigualdad en trabajo no remunerado</v>
      </c>
      <c r="C135" s="59">
        <f>Indice2026!E20</f>
        <v>56.012721129000198</v>
      </c>
      <c r="D135" t="str">
        <f>TRIM(Indice2026!$E$5)</f>
        <v>Porcentaje adicional de horas semanales que dedica una mujer al TNR en comparación con un hombre</v>
      </c>
      <c r="E135" t="str">
        <f>TRIM(Indice2026!$E$6)</f>
        <v>Porcentaje</v>
      </c>
      <c r="F135" t="s">
        <v>143</v>
      </c>
    </row>
    <row r="136" spans="1:6" x14ac:dyDescent="0.3">
      <c r="A136" t="s">
        <v>17</v>
      </c>
      <c r="B136" t="str">
        <f>TRIM(Indice2026!$E$3)</f>
        <v>Desigualdad en trabajo no remunerado</v>
      </c>
      <c r="C136" s="59">
        <f>Indice2026!E21</f>
        <v>46.269687304770983</v>
      </c>
      <c r="D136" t="str">
        <f>TRIM(Indice2026!$E$5)</f>
        <v>Porcentaje adicional de horas semanales que dedica una mujer al TNR en comparación con un hombre</v>
      </c>
      <c r="E136" t="str">
        <f>TRIM(Indice2026!$E$6)</f>
        <v>Porcentaje</v>
      </c>
      <c r="F136" t="s">
        <v>143</v>
      </c>
    </row>
    <row r="137" spans="1:6" x14ac:dyDescent="0.3">
      <c r="A137" t="s">
        <v>18</v>
      </c>
      <c r="B137" t="str">
        <f>TRIM(Indice2026!$E$3)</f>
        <v>Desigualdad en trabajo no remunerado</v>
      </c>
      <c r="C137" s="59">
        <f>Indice2026!E17</f>
        <v>60.427168623794401</v>
      </c>
      <c r="D137" t="str">
        <f>TRIM(Indice2026!$E$5)</f>
        <v>Porcentaje adicional de horas semanales que dedica una mujer al TNR en comparación con un hombre</v>
      </c>
      <c r="E137" t="str">
        <f>TRIM(Indice2026!$E$6)</f>
        <v>Porcentaje</v>
      </c>
      <c r="F137" t="s">
        <v>143</v>
      </c>
    </row>
    <row r="138" spans="1:6" x14ac:dyDescent="0.3">
      <c r="A138" t="s">
        <v>19</v>
      </c>
      <c r="B138" t="str">
        <f>TRIM(Indice2026!$E$3)</f>
        <v>Desigualdad en trabajo no remunerado</v>
      </c>
      <c r="C138" s="59">
        <f>Indice2026!E18</f>
        <v>55.008737809346641</v>
      </c>
      <c r="D138" t="str">
        <f>TRIM(Indice2026!$E$5)</f>
        <v>Porcentaje adicional de horas semanales que dedica una mujer al TNR en comparación con un hombre</v>
      </c>
      <c r="E138" t="str">
        <f>TRIM(Indice2026!$E$6)</f>
        <v>Porcentaje</v>
      </c>
      <c r="F138" t="s">
        <v>143</v>
      </c>
    </row>
    <row r="139" spans="1:6" x14ac:dyDescent="0.3">
      <c r="A139" t="s">
        <v>20</v>
      </c>
      <c r="B139" t="str">
        <f>TRIM(Indice2026!$E$3)</f>
        <v>Desigualdad en trabajo no remunerado</v>
      </c>
      <c r="C139" s="59">
        <f>Indice2026!E22</f>
        <v>57.383117997499333</v>
      </c>
      <c r="D139" t="str">
        <f>TRIM(Indice2026!$E$5)</f>
        <v>Porcentaje adicional de horas semanales que dedica una mujer al TNR en comparación con un hombre</v>
      </c>
      <c r="E139" t="str">
        <f>TRIM(Indice2026!$E$6)</f>
        <v>Porcentaje</v>
      </c>
      <c r="F139" t="s">
        <v>143</v>
      </c>
    </row>
    <row r="140" spans="1:6" x14ac:dyDescent="0.3">
      <c r="A140" t="s">
        <v>21</v>
      </c>
      <c r="B140" t="str">
        <f>TRIM(Indice2026!$E$3)</f>
        <v>Desigualdad en trabajo no remunerado</v>
      </c>
      <c r="C140" s="59">
        <f>Indice2026!E23</f>
        <v>63.241039094356843</v>
      </c>
      <c r="D140" t="str">
        <f>TRIM(Indice2026!$E$5)</f>
        <v>Porcentaje adicional de horas semanales que dedica una mujer al TNR en comparación con un hombre</v>
      </c>
      <c r="E140" t="str">
        <f>TRIM(Indice2026!$E$6)</f>
        <v>Porcentaje</v>
      </c>
      <c r="F140" t="s">
        <v>143</v>
      </c>
    </row>
    <row r="141" spans="1:6" x14ac:dyDescent="0.3">
      <c r="A141" t="s">
        <v>22</v>
      </c>
      <c r="B141" t="str">
        <f>TRIM(Indice2026!$E$3)</f>
        <v>Desigualdad en trabajo no remunerado</v>
      </c>
      <c r="C141" s="59">
        <f>Indice2026!E24</f>
        <v>60.247582400891098</v>
      </c>
      <c r="D141" t="str">
        <f>TRIM(Indice2026!$E$5)</f>
        <v>Porcentaje adicional de horas semanales que dedica una mujer al TNR en comparación con un hombre</v>
      </c>
      <c r="E141" t="str">
        <f>TRIM(Indice2026!$E$6)</f>
        <v>Porcentaje</v>
      </c>
      <c r="F141" t="s">
        <v>143</v>
      </c>
    </row>
    <row r="142" spans="1:6" x14ac:dyDescent="0.3">
      <c r="A142" t="s">
        <v>23</v>
      </c>
      <c r="B142" t="str">
        <f>TRIM(Indice2026!$E$3)</f>
        <v>Desigualdad en trabajo no remunerado</v>
      </c>
      <c r="C142" s="59">
        <f>Indice2026!E25</f>
        <v>54.269149235052225</v>
      </c>
      <c r="D142" t="str">
        <f>TRIM(Indice2026!$E$5)</f>
        <v>Porcentaje adicional de horas semanales que dedica una mujer al TNR en comparación con un hombre</v>
      </c>
      <c r="E142" t="str">
        <f>TRIM(Indice2026!$E$6)</f>
        <v>Porcentaje</v>
      </c>
      <c r="F142" t="s">
        <v>143</v>
      </c>
    </row>
    <row r="143" spans="1:6" x14ac:dyDescent="0.3">
      <c r="A143" t="s">
        <v>24</v>
      </c>
      <c r="B143" t="str">
        <f>TRIM(Indice2026!$E$3)</f>
        <v>Desigualdad en trabajo no remunerado</v>
      </c>
      <c r="C143" s="59">
        <f>Indice2026!E26</f>
        <v>59.496066717927491</v>
      </c>
      <c r="D143" t="str">
        <f>TRIM(Indice2026!$E$5)</f>
        <v>Porcentaje adicional de horas semanales que dedica una mujer al TNR en comparación con un hombre</v>
      </c>
      <c r="E143" t="str">
        <f>TRIM(Indice2026!$E$6)</f>
        <v>Porcentaje</v>
      </c>
      <c r="F143" t="s">
        <v>143</v>
      </c>
    </row>
    <row r="144" spans="1:6" x14ac:dyDescent="0.3">
      <c r="A144" t="s">
        <v>25</v>
      </c>
      <c r="B144" t="str">
        <f>TRIM(Indice2026!$E$3)</f>
        <v>Desigualdad en trabajo no remunerado</v>
      </c>
      <c r="C144" s="59">
        <f>Indice2026!E28</f>
        <v>61.575621474827656</v>
      </c>
      <c r="D144" t="str">
        <f>TRIM(Indice2026!$E$5)</f>
        <v>Porcentaje adicional de horas semanales que dedica una mujer al TNR en comparación con un hombre</v>
      </c>
      <c r="E144" t="str">
        <f>TRIM(Indice2026!$E$6)</f>
        <v>Porcentaje</v>
      </c>
      <c r="F144" t="s">
        <v>143</v>
      </c>
    </row>
    <row r="145" spans="1:6" x14ac:dyDescent="0.3">
      <c r="A145" t="s">
        <v>26</v>
      </c>
      <c r="B145" t="str">
        <f>TRIM(Indice2026!$E$3)</f>
        <v>Desigualdad en trabajo no remunerado</v>
      </c>
      <c r="C145" s="59">
        <f>Indice2026!E29</f>
        <v>58.058661670862364</v>
      </c>
      <c r="D145" t="str">
        <f>TRIM(Indice2026!$E$5)</f>
        <v>Porcentaje adicional de horas semanales que dedica una mujer al TNR en comparación con un hombre</v>
      </c>
      <c r="E145" t="str">
        <f>TRIM(Indice2026!$E$6)</f>
        <v>Porcentaje</v>
      </c>
      <c r="F145" t="s">
        <v>143</v>
      </c>
    </row>
    <row r="146" spans="1:6" x14ac:dyDescent="0.3">
      <c r="A146" t="s">
        <v>0</v>
      </c>
      <c r="B146" t="str">
        <f>TRIM(Indice2026!$E$3)</f>
        <v>Desigualdad en trabajo no remunerado</v>
      </c>
      <c r="C146" s="59">
        <f>Indice2026!E27</f>
        <v>60.926211420452823</v>
      </c>
      <c r="D146" t="str">
        <f>TRIM(Indice2026!$E$5)</f>
        <v>Porcentaje adicional de horas semanales que dedica una mujer al TNR en comparación con un hombre</v>
      </c>
      <c r="E146" t="str">
        <f>TRIM(Indice2026!$E$6)</f>
        <v>Porcentaje</v>
      </c>
      <c r="F146" t="s">
        <v>143</v>
      </c>
    </row>
    <row r="147" spans="1:6" x14ac:dyDescent="0.3">
      <c r="A147" t="s">
        <v>27</v>
      </c>
      <c r="B147" t="str">
        <f>TRIM(Indice2026!$E$3)</f>
        <v>Desigualdad en trabajo no remunerado</v>
      </c>
      <c r="C147" s="59">
        <f>Indice2026!E30</f>
        <v>63.252286293193151</v>
      </c>
      <c r="D147" t="str">
        <f>TRIM(Indice2026!$E$5)</f>
        <v>Porcentaje adicional de horas semanales que dedica una mujer al TNR en comparación con un hombre</v>
      </c>
      <c r="E147" t="str">
        <f>TRIM(Indice2026!$E$6)</f>
        <v>Porcentaje</v>
      </c>
      <c r="F147" t="s">
        <v>143</v>
      </c>
    </row>
    <row r="148" spans="1:6" x14ac:dyDescent="0.3">
      <c r="A148" t="s">
        <v>28</v>
      </c>
      <c r="B148" t="str">
        <f>TRIM(Indice2026!$E$3)</f>
        <v>Desigualdad en trabajo no remunerado</v>
      </c>
      <c r="C148" s="59">
        <f>Indice2026!E31</f>
        <v>56.623353972268255</v>
      </c>
      <c r="D148" t="str">
        <f>TRIM(Indice2026!$E$5)</f>
        <v>Porcentaje adicional de horas semanales que dedica una mujer al TNR en comparación con un hombre</v>
      </c>
      <c r="E148" t="str">
        <f>TRIM(Indice2026!$E$6)</f>
        <v>Porcentaje</v>
      </c>
      <c r="F148" t="s">
        <v>143</v>
      </c>
    </row>
    <row r="149" spans="1:6" x14ac:dyDescent="0.3">
      <c r="A149" t="s">
        <v>29</v>
      </c>
      <c r="B149" t="str">
        <f>TRIM(Indice2026!$E$3)</f>
        <v>Desigualdad en trabajo no remunerado</v>
      </c>
      <c r="C149" s="59">
        <f>Indice2026!E32</f>
        <v>60.22953100158982</v>
      </c>
      <c r="D149" t="str">
        <f>TRIM(Indice2026!$E$5)</f>
        <v>Porcentaje adicional de horas semanales que dedica una mujer al TNR en comparación con un hombre</v>
      </c>
      <c r="E149" t="str">
        <f>TRIM(Indice2026!$E$6)</f>
        <v>Porcentaje</v>
      </c>
      <c r="F149" t="s">
        <v>143</v>
      </c>
    </row>
    <row r="150" spans="1:6" x14ac:dyDescent="0.3">
      <c r="A150" t="s">
        <v>30</v>
      </c>
      <c r="B150" t="str">
        <f>TRIM(Indice2026!$E$3)</f>
        <v>Desigualdad en trabajo no remunerado</v>
      </c>
      <c r="C150" s="59">
        <f>Indice2026!E33</f>
        <v>60.41689109124205</v>
      </c>
      <c r="D150" t="str">
        <f>TRIM(Indice2026!$E$5)</f>
        <v>Porcentaje adicional de horas semanales que dedica una mujer al TNR en comparación con un hombre</v>
      </c>
      <c r="E150" t="str">
        <f>TRIM(Indice2026!$E$6)</f>
        <v>Porcentaje</v>
      </c>
      <c r="F150" t="s">
        <v>143</v>
      </c>
    </row>
    <row r="151" spans="1:6" x14ac:dyDescent="0.3">
      <c r="A151" t="s">
        <v>31</v>
      </c>
      <c r="B151" t="str">
        <f>TRIM(Indice2026!$E$3)</f>
        <v>Desigualdad en trabajo no remunerado</v>
      </c>
      <c r="C151" s="59">
        <f>Indice2026!E34</f>
        <v>55.49694313693665</v>
      </c>
      <c r="D151" t="str">
        <f>TRIM(Indice2026!$E$5)</f>
        <v>Porcentaje adicional de horas semanales que dedica una mujer al TNR en comparación con un hombre</v>
      </c>
      <c r="E151" t="str">
        <f>TRIM(Indice2026!$E$6)</f>
        <v>Porcentaje</v>
      </c>
      <c r="F151" t="s">
        <v>143</v>
      </c>
    </row>
    <row r="152" spans="1:6" x14ac:dyDescent="0.3">
      <c r="A152" t="s">
        <v>32</v>
      </c>
      <c r="B152" t="str">
        <f>TRIM(Indice2026!$E$3)</f>
        <v>Desigualdad en trabajo no remunerado</v>
      </c>
      <c r="C152" s="59">
        <f>Indice2026!E35</f>
        <v>54.047783282122033</v>
      </c>
      <c r="D152" t="str">
        <f>TRIM(Indice2026!$E$5)</f>
        <v>Porcentaje adicional de horas semanales que dedica una mujer al TNR en comparación con un hombre</v>
      </c>
      <c r="E152" t="str">
        <f>TRIM(Indice2026!$E$6)</f>
        <v>Porcentaje</v>
      </c>
      <c r="F152" t="s">
        <v>143</v>
      </c>
    </row>
    <row r="153" spans="1:6" x14ac:dyDescent="0.3">
      <c r="A153" t="s">
        <v>33</v>
      </c>
      <c r="B153" t="str">
        <f>TRIM(Indice2026!$E$3)</f>
        <v>Desigualdad en trabajo no remunerado</v>
      </c>
      <c r="C153" s="59">
        <f>Indice2026!E36</f>
        <v>58.70474658085277</v>
      </c>
      <c r="D153" t="str">
        <f>TRIM(Indice2026!$E$5)</f>
        <v>Porcentaje adicional de horas semanales que dedica una mujer al TNR en comparación con un hombre</v>
      </c>
      <c r="E153" t="str">
        <f>TRIM(Indice2026!$E$6)</f>
        <v>Porcentaje</v>
      </c>
      <c r="F153" t="s">
        <v>143</v>
      </c>
    </row>
    <row r="154" spans="1:6" x14ac:dyDescent="0.3">
      <c r="A154" t="s">
        <v>34</v>
      </c>
      <c r="B154" t="str">
        <f>TRIM(Indice2026!$E$3)</f>
        <v>Desigualdad en trabajo no remunerado</v>
      </c>
      <c r="C154" s="59">
        <f>Indice2026!E37</f>
        <v>63.326713279103295</v>
      </c>
      <c r="D154" t="str">
        <f>TRIM(Indice2026!$E$5)</f>
        <v>Porcentaje adicional de horas semanales que dedica una mujer al TNR en comparación con un hombre</v>
      </c>
      <c r="E154" t="str">
        <f>TRIM(Indice2026!$E$6)</f>
        <v>Porcentaje</v>
      </c>
      <c r="F154" t="s">
        <v>143</v>
      </c>
    </row>
    <row r="155" spans="1:6" x14ac:dyDescent="0.3">
      <c r="A155" t="s">
        <v>35</v>
      </c>
      <c r="B155" t="str">
        <f>TRIM(Indice2026!$E$3)</f>
        <v>Desigualdad en trabajo no remunerado</v>
      </c>
      <c r="C155" s="59">
        <f>Indice2026!E38</f>
        <v>55.652344957428276</v>
      </c>
      <c r="D155" t="str">
        <f>TRIM(Indice2026!$E$5)</f>
        <v>Porcentaje adicional de horas semanales que dedica una mujer al TNR en comparación con un hombre</v>
      </c>
      <c r="E155" t="str">
        <f>TRIM(Indice2026!$E$6)</f>
        <v>Porcentaje</v>
      </c>
      <c r="F155" t="s">
        <v>143</v>
      </c>
    </row>
    <row r="156" spans="1:6" x14ac:dyDescent="0.3">
      <c r="A156" t="s">
        <v>36</v>
      </c>
      <c r="B156" t="str">
        <f>TRIM(Indice2026!$E$3)</f>
        <v>Desigualdad en trabajo no remunerado</v>
      </c>
      <c r="C156" s="59">
        <f>Indice2026!E39</f>
        <v>58.04244964174665</v>
      </c>
      <c r="D156" t="str">
        <f>TRIM(Indice2026!$E$5)</f>
        <v>Porcentaje adicional de horas semanales que dedica una mujer al TNR en comparación con un hombre</v>
      </c>
      <c r="E156" t="str">
        <f>TRIM(Indice2026!$E$6)</f>
        <v>Porcentaje</v>
      </c>
      <c r="F156" t="s">
        <v>143</v>
      </c>
    </row>
    <row r="157" spans="1:6" x14ac:dyDescent="0.3">
      <c r="A157" t="s">
        <v>37</v>
      </c>
      <c r="B157" t="str">
        <f>TRIM(Indice2026!$E$3)</f>
        <v>Desigualdad en trabajo no remunerado</v>
      </c>
      <c r="C157" s="59">
        <f>Indice2026!E40</f>
        <v>54.660197156281676</v>
      </c>
      <c r="D157" t="str">
        <f>TRIM(Indice2026!$E$5)</f>
        <v>Porcentaje adicional de horas semanales que dedica una mujer al TNR en comparación con un hombre</v>
      </c>
      <c r="E157" t="str">
        <f>TRIM(Indice2026!$E$6)</f>
        <v>Porcentaje</v>
      </c>
      <c r="F157" t="s">
        <v>143</v>
      </c>
    </row>
    <row r="158" spans="1:6" x14ac:dyDescent="0.3">
      <c r="A158" t="s">
        <v>38</v>
      </c>
      <c r="B158" t="str">
        <f>TRIM(Indice2026!$E$3)</f>
        <v>Desigualdad en trabajo no remunerado</v>
      </c>
      <c r="C158" s="59">
        <f>Indice2026!E41</f>
        <v>56.639530228212998</v>
      </c>
      <c r="D158" t="str">
        <f>TRIM(Indice2026!$E$5)</f>
        <v>Porcentaje adicional de horas semanales que dedica una mujer al TNR en comparación con un hombre</v>
      </c>
      <c r="E158" t="str">
        <f>TRIM(Indice2026!$E$6)</f>
        <v>Porcentaje</v>
      </c>
      <c r="F158" t="s">
        <v>143</v>
      </c>
    </row>
    <row r="159" spans="1:6" x14ac:dyDescent="0.3">
      <c r="A159" t="s">
        <v>39</v>
      </c>
      <c r="B159" t="str">
        <f>TRIM(Indice2026!$E$3)</f>
        <v>Desigualdad en trabajo no remunerado</v>
      </c>
      <c r="C159" s="59">
        <f>Indice2026!E42</f>
        <v>59.406338753864333</v>
      </c>
      <c r="D159" t="str">
        <f>TRIM(Indice2026!$E$5)</f>
        <v>Porcentaje adicional de horas semanales que dedica una mujer al TNR en comparación con un hombre</v>
      </c>
      <c r="E159" t="str">
        <f>TRIM(Indice2026!$E$6)</f>
        <v>Porcentaje</v>
      </c>
      <c r="F159" t="s">
        <v>143</v>
      </c>
    </row>
    <row r="160" spans="1:6" x14ac:dyDescent="0.3">
      <c r="A160" t="s">
        <v>40</v>
      </c>
      <c r="B160" t="str">
        <f>TRIM(Indice2026!$E$3)</f>
        <v>Desigualdad en trabajo no remunerado</v>
      </c>
      <c r="C160" s="59">
        <f>Indice2026!E43</f>
        <v>52.214773318639608</v>
      </c>
      <c r="D160" t="str">
        <f>TRIM(Indice2026!$E$5)</f>
        <v>Porcentaje adicional de horas semanales que dedica una mujer al TNR en comparación con un hombre</v>
      </c>
      <c r="E160" t="str">
        <f>TRIM(Indice2026!$E$6)</f>
        <v>Porcentaje</v>
      </c>
      <c r="F160" t="s">
        <v>143</v>
      </c>
    </row>
    <row r="161" spans="1:6" x14ac:dyDescent="0.3">
      <c r="A161" t="s">
        <v>41</v>
      </c>
      <c r="B161" t="str">
        <f>TRIM(Indice2026!$E$3)</f>
        <v>Desigualdad en trabajo no remunerado</v>
      </c>
      <c r="C161" s="59">
        <f>Indice2026!E44</f>
        <v>61.121485631289538</v>
      </c>
      <c r="D161" t="str">
        <f>TRIM(Indice2026!$E$5)</f>
        <v>Porcentaje adicional de horas semanales que dedica una mujer al TNR en comparación con un hombre</v>
      </c>
      <c r="E161" t="str">
        <f>TRIM(Indice2026!$E$6)</f>
        <v>Porcentaje</v>
      </c>
      <c r="F161" t="s">
        <v>143</v>
      </c>
    </row>
    <row r="162" spans="1:6" x14ac:dyDescent="0.3">
      <c r="A162" t="s">
        <v>7</v>
      </c>
      <c r="B162" t="str">
        <f>TRIM(Indice2026!$D$3)</f>
        <v>Embarazo adolescente</v>
      </c>
      <c r="C162" s="59">
        <f>Indice2026!D13</f>
        <v>14</v>
      </c>
      <c r="D162" t="str">
        <f>TRIM(Indice2026!$D$5)</f>
        <v>Porcentaje de nacimientos registrados de madres menores de 20 años</v>
      </c>
      <c r="E162" t="str">
        <f>TRIM(Indice2026!$D$6)</f>
        <v>Porcentaje</v>
      </c>
      <c r="F162" t="s">
        <v>144</v>
      </c>
    </row>
    <row r="163" spans="1:6" x14ac:dyDescent="0.3">
      <c r="A163" t="s">
        <v>12</v>
      </c>
      <c r="B163" t="str">
        <f>TRIM(Indice2026!$D$3)</f>
        <v>Embarazo adolescente</v>
      </c>
      <c r="C163" s="59">
        <f>Indice2026!D14</f>
        <v>11.2</v>
      </c>
      <c r="D163" t="str">
        <f>TRIM(Indice2026!$D$5)</f>
        <v>Porcentaje de nacimientos registrados de madres menores de 20 años</v>
      </c>
      <c r="E163" t="str">
        <f>TRIM(Indice2026!$D$6)</f>
        <v>Porcentaje</v>
      </c>
      <c r="F163" t="s">
        <v>144</v>
      </c>
    </row>
    <row r="164" spans="1:6" x14ac:dyDescent="0.3">
      <c r="A164" t="s">
        <v>13</v>
      </c>
      <c r="B164" t="str">
        <f>TRIM(Indice2026!$D$3)</f>
        <v>Embarazo adolescente</v>
      </c>
      <c r="C164" s="59">
        <f>Indice2026!D15</f>
        <v>12.1</v>
      </c>
      <c r="D164" t="str">
        <f>TRIM(Indice2026!$D$5)</f>
        <v>Porcentaje de nacimientos registrados de madres menores de 20 años</v>
      </c>
      <c r="E164" t="str">
        <f>TRIM(Indice2026!$D$6)</f>
        <v>Porcentaje</v>
      </c>
      <c r="F164" t="s">
        <v>144</v>
      </c>
    </row>
    <row r="165" spans="1:6" x14ac:dyDescent="0.3">
      <c r="A165" t="s">
        <v>14</v>
      </c>
      <c r="B165" t="str">
        <f>TRIM(Indice2026!$D$3)</f>
        <v>Embarazo adolescente</v>
      </c>
      <c r="C165" s="59">
        <f>Indice2026!D16</f>
        <v>14.4</v>
      </c>
      <c r="D165" t="str">
        <f>TRIM(Indice2026!$D$5)</f>
        <v>Porcentaje de nacimientos registrados de madres menores de 20 años</v>
      </c>
      <c r="E165" t="str">
        <f>TRIM(Indice2026!$D$6)</f>
        <v>Porcentaje</v>
      </c>
      <c r="F165" t="s">
        <v>144</v>
      </c>
    </row>
    <row r="166" spans="1:6" x14ac:dyDescent="0.3">
      <c r="A166" t="s">
        <v>15</v>
      </c>
      <c r="B166" t="str">
        <f>TRIM(Indice2026!$D$3)</f>
        <v>Embarazo adolescente</v>
      </c>
      <c r="C166" s="59">
        <f>Indice2026!D19</f>
        <v>18.3</v>
      </c>
      <c r="D166" t="str">
        <f>TRIM(Indice2026!$D$5)</f>
        <v>Porcentaje de nacimientos registrados de madres menores de 20 años</v>
      </c>
      <c r="E166" t="str">
        <f>TRIM(Indice2026!$D$6)</f>
        <v>Porcentaje</v>
      </c>
      <c r="F166" t="s">
        <v>144</v>
      </c>
    </row>
    <row r="167" spans="1:6" x14ac:dyDescent="0.3">
      <c r="A167" t="s">
        <v>16</v>
      </c>
      <c r="B167" t="str">
        <f>TRIM(Indice2026!$D$3)</f>
        <v>Embarazo adolescente</v>
      </c>
      <c r="C167" s="59">
        <f>Indice2026!D20</f>
        <v>17.7</v>
      </c>
      <c r="D167" t="str">
        <f>TRIM(Indice2026!$D$5)</f>
        <v>Porcentaje de nacimientos registrados de madres menores de 20 años</v>
      </c>
      <c r="E167" t="str">
        <f>TRIM(Indice2026!$D$6)</f>
        <v>Porcentaje</v>
      </c>
      <c r="F167" t="s">
        <v>144</v>
      </c>
    </row>
    <row r="168" spans="1:6" x14ac:dyDescent="0.3">
      <c r="A168" t="s">
        <v>17</v>
      </c>
      <c r="B168" t="str">
        <f>TRIM(Indice2026!$D$3)</f>
        <v>Embarazo adolescente</v>
      </c>
      <c r="C168" s="59">
        <f>Indice2026!D21</f>
        <v>10.199999999999999</v>
      </c>
      <c r="D168" t="str">
        <f>TRIM(Indice2026!$D$5)</f>
        <v>Porcentaje de nacimientos registrados de madres menores de 20 años</v>
      </c>
      <c r="E168" t="str">
        <f>TRIM(Indice2026!$D$6)</f>
        <v>Porcentaje</v>
      </c>
      <c r="F168" t="s">
        <v>144</v>
      </c>
    </row>
    <row r="169" spans="1:6" x14ac:dyDescent="0.3">
      <c r="A169" t="s">
        <v>18</v>
      </c>
      <c r="B169" t="str">
        <f>TRIM(Indice2026!$D$3)</f>
        <v>Embarazo adolescente</v>
      </c>
      <c r="C169" s="59">
        <f>Indice2026!D17</f>
        <v>15.7</v>
      </c>
      <c r="D169" t="str">
        <f>TRIM(Indice2026!$D$5)</f>
        <v>Porcentaje de nacimientos registrados de madres menores de 20 años</v>
      </c>
      <c r="E169" t="str">
        <f>TRIM(Indice2026!$D$6)</f>
        <v>Porcentaje</v>
      </c>
      <c r="F169" t="s">
        <v>144</v>
      </c>
    </row>
    <row r="170" spans="1:6" x14ac:dyDescent="0.3">
      <c r="A170" t="s">
        <v>19</v>
      </c>
      <c r="B170" t="str">
        <f>TRIM(Indice2026!$D$3)</f>
        <v>Embarazo adolescente</v>
      </c>
      <c r="C170" s="59">
        <f>Indice2026!D18</f>
        <v>12.9</v>
      </c>
      <c r="D170" t="str">
        <f>TRIM(Indice2026!$D$5)</f>
        <v>Porcentaje de nacimientos registrados de madres menores de 20 años</v>
      </c>
      <c r="E170" t="str">
        <f>TRIM(Indice2026!$D$6)</f>
        <v>Porcentaje</v>
      </c>
      <c r="F170" t="s">
        <v>144</v>
      </c>
    </row>
    <row r="171" spans="1:6" x14ac:dyDescent="0.3">
      <c r="A171" t="s">
        <v>20</v>
      </c>
      <c r="B171" t="str">
        <f>TRIM(Indice2026!$D$3)</f>
        <v>Embarazo adolescente</v>
      </c>
      <c r="C171" s="59">
        <f>Indice2026!D22</f>
        <v>15.8</v>
      </c>
      <c r="D171" t="str">
        <f>TRIM(Indice2026!$D$5)</f>
        <v>Porcentaje de nacimientos registrados de madres menores de 20 años</v>
      </c>
      <c r="E171" t="str">
        <f>TRIM(Indice2026!$D$6)</f>
        <v>Porcentaje</v>
      </c>
      <c r="F171" t="s">
        <v>144</v>
      </c>
    </row>
    <row r="172" spans="1:6" x14ac:dyDescent="0.3">
      <c r="A172" t="s">
        <v>21</v>
      </c>
      <c r="B172" t="str">
        <f>TRIM(Indice2026!$D$3)</f>
        <v>Embarazo adolescente</v>
      </c>
      <c r="C172" s="59">
        <f>Indice2026!D23</f>
        <v>14.6</v>
      </c>
      <c r="D172" t="str">
        <f>TRIM(Indice2026!$D$5)</f>
        <v>Porcentaje de nacimientos registrados de madres menores de 20 años</v>
      </c>
      <c r="E172" t="str">
        <f>TRIM(Indice2026!$D$6)</f>
        <v>Porcentaje</v>
      </c>
      <c r="F172" t="s">
        <v>144</v>
      </c>
    </row>
    <row r="173" spans="1:6" x14ac:dyDescent="0.3">
      <c r="A173" t="s">
        <v>22</v>
      </c>
      <c r="B173" t="str">
        <f>TRIM(Indice2026!$D$3)</f>
        <v>Embarazo adolescente</v>
      </c>
      <c r="C173" s="59">
        <f>Indice2026!D24</f>
        <v>17.100000000000001</v>
      </c>
      <c r="D173" t="str">
        <f>TRIM(Indice2026!$D$5)</f>
        <v>Porcentaje de nacimientos registrados de madres menores de 20 años</v>
      </c>
      <c r="E173" t="str">
        <f>TRIM(Indice2026!$D$6)</f>
        <v>Porcentaje</v>
      </c>
      <c r="F173" t="s">
        <v>144</v>
      </c>
    </row>
    <row r="174" spans="1:6" x14ac:dyDescent="0.3">
      <c r="A174" t="s">
        <v>23</v>
      </c>
      <c r="B174" t="str">
        <f>TRIM(Indice2026!$D$3)</f>
        <v>Embarazo adolescente</v>
      </c>
      <c r="C174" s="59">
        <f>Indice2026!D25</f>
        <v>14.1</v>
      </c>
      <c r="D174" t="str">
        <f>TRIM(Indice2026!$D$5)</f>
        <v>Porcentaje de nacimientos registrados de madres menores de 20 años</v>
      </c>
      <c r="E174" t="str">
        <f>TRIM(Indice2026!$D$6)</f>
        <v>Porcentaje</v>
      </c>
      <c r="F174" t="s">
        <v>144</v>
      </c>
    </row>
    <row r="175" spans="1:6" x14ac:dyDescent="0.3">
      <c r="A175" t="s">
        <v>24</v>
      </c>
      <c r="B175" t="str">
        <f>TRIM(Indice2026!$D$3)</f>
        <v>Embarazo adolescente</v>
      </c>
      <c r="C175" s="59">
        <f>Indice2026!D26</f>
        <v>13.7</v>
      </c>
      <c r="D175" t="str">
        <f>TRIM(Indice2026!$D$5)</f>
        <v>Porcentaje de nacimientos registrados de madres menores de 20 años</v>
      </c>
      <c r="E175" t="str">
        <f>TRIM(Indice2026!$D$6)</f>
        <v>Porcentaje</v>
      </c>
      <c r="F175" t="s">
        <v>144</v>
      </c>
    </row>
    <row r="176" spans="1:6" x14ac:dyDescent="0.3">
      <c r="A176" t="s">
        <v>25</v>
      </c>
      <c r="B176" t="str">
        <f>TRIM(Indice2026!$D$3)</f>
        <v>Embarazo adolescente</v>
      </c>
      <c r="C176" s="59">
        <f>Indice2026!D28</f>
        <v>15.3</v>
      </c>
      <c r="D176" t="str">
        <f>TRIM(Indice2026!$D$5)</f>
        <v>Porcentaje de nacimientos registrados de madres menores de 20 años</v>
      </c>
      <c r="E176" t="str">
        <f>TRIM(Indice2026!$D$6)</f>
        <v>Porcentaje</v>
      </c>
      <c r="F176" t="s">
        <v>144</v>
      </c>
    </row>
    <row r="177" spans="1:6" x14ac:dyDescent="0.3">
      <c r="A177" t="s">
        <v>26</v>
      </c>
      <c r="B177" t="str">
        <f>TRIM(Indice2026!$D$3)</f>
        <v>Embarazo adolescente</v>
      </c>
      <c r="C177" s="59">
        <f>Indice2026!D29</f>
        <v>14.3</v>
      </c>
      <c r="D177" t="str">
        <f>TRIM(Indice2026!$D$5)</f>
        <v>Porcentaje de nacimientos registrados de madres menores de 20 años</v>
      </c>
      <c r="E177" t="str">
        <f>TRIM(Indice2026!$D$6)</f>
        <v>Porcentaje</v>
      </c>
      <c r="F177" t="s">
        <v>144</v>
      </c>
    </row>
    <row r="178" spans="1:6" x14ac:dyDescent="0.3">
      <c r="A178" t="s">
        <v>0</v>
      </c>
      <c r="B178" t="str">
        <f>TRIM(Indice2026!$D$3)</f>
        <v>Embarazo adolescente</v>
      </c>
      <c r="C178" s="59">
        <f>Indice2026!D27</f>
        <v>14.9</v>
      </c>
      <c r="D178" t="str">
        <f>TRIM(Indice2026!$D$5)</f>
        <v>Porcentaje de nacimientos registrados de madres menores de 20 años</v>
      </c>
      <c r="E178" t="str">
        <f>TRIM(Indice2026!$D$6)</f>
        <v>Porcentaje</v>
      </c>
      <c r="F178" t="s">
        <v>144</v>
      </c>
    </row>
    <row r="179" spans="1:6" x14ac:dyDescent="0.3">
      <c r="A179" t="s">
        <v>27</v>
      </c>
      <c r="B179" t="str">
        <f>TRIM(Indice2026!$D$3)</f>
        <v>Embarazo adolescente</v>
      </c>
      <c r="C179" s="59">
        <f>Indice2026!D30</f>
        <v>16.2</v>
      </c>
      <c r="D179" t="str">
        <f>TRIM(Indice2026!$D$5)</f>
        <v>Porcentaje de nacimientos registrados de madres menores de 20 años</v>
      </c>
      <c r="E179" t="str">
        <f>TRIM(Indice2026!$D$6)</f>
        <v>Porcentaje</v>
      </c>
      <c r="F179" t="s">
        <v>144</v>
      </c>
    </row>
    <row r="180" spans="1:6" x14ac:dyDescent="0.3">
      <c r="A180" t="s">
        <v>28</v>
      </c>
      <c r="B180" t="str">
        <f>TRIM(Indice2026!$D$3)</f>
        <v>Embarazo adolescente</v>
      </c>
      <c r="C180" s="59">
        <f>Indice2026!D31</f>
        <v>11.1</v>
      </c>
      <c r="D180" t="str">
        <f>TRIM(Indice2026!$D$5)</f>
        <v>Porcentaje de nacimientos registrados de madres menores de 20 años</v>
      </c>
      <c r="E180" t="str">
        <f>TRIM(Indice2026!$D$6)</f>
        <v>Porcentaje</v>
      </c>
      <c r="F180" t="s">
        <v>144</v>
      </c>
    </row>
    <row r="181" spans="1:6" x14ac:dyDescent="0.3">
      <c r="A181" t="s">
        <v>29</v>
      </c>
      <c r="B181" t="str">
        <f>TRIM(Indice2026!$D$3)</f>
        <v>Embarazo adolescente</v>
      </c>
      <c r="C181" s="59">
        <f>Indice2026!D32</f>
        <v>16.600000000000001</v>
      </c>
      <c r="D181" t="str">
        <f>TRIM(Indice2026!$D$5)</f>
        <v>Porcentaje de nacimientos registrados de madres menores de 20 años</v>
      </c>
      <c r="E181" t="str">
        <f>TRIM(Indice2026!$D$6)</f>
        <v>Porcentaje</v>
      </c>
      <c r="F181" t="s">
        <v>144</v>
      </c>
    </row>
    <row r="182" spans="1:6" x14ac:dyDescent="0.3">
      <c r="A182" t="s">
        <v>30</v>
      </c>
      <c r="B182" t="str">
        <f>TRIM(Indice2026!$D$3)</f>
        <v>Embarazo adolescente</v>
      </c>
      <c r="C182" s="59">
        <f>Indice2026!D33</f>
        <v>16.3</v>
      </c>
      <c r="D182" t="str">
        <f>TRIM(Indice2026!$D$5)</f>
        <v>Porcentaje de nacimientos registrados de madres menores de 20 años</v>
      </c>
      <c r="E182" t="str">
        <f>TRIM(Indice2026!$D$6)</f>
        <v>Porcentaje</v>
      </c>
      <c r="F182" t="s">
        <v>144</v>
      </c>
    </row>
    <row r="183" spans="1:6" x14ac:dyDescent="0.3">
      <c r="A183" t="s">
        <v>31</v>
      </c>
      <c r="B183" t="str">
        <f>TRIM(Indice2026!$D$3)</f>
        <v>Embarazo adolescente</v>
      </c>
      <c r="C183" s="59">
        <f>Indice2026!D34</f>
        <v>11.7</v>
      </c>
      <c r="D183" t="str">
        <f>TRIM(Indice2026!$D$5)</f>
        <v>Porcentaje de nacimientos registrados de madres menores de 20 años</v>
      </c>
      <c r="E183" t="str">
        <f>TRIM(Indice2026!$D$6)</f>
        <v>Porcentaje</v>
      </c>
      <c r="F183" t="s">
        <v>144</v>
      </c>
    </row>
    <row r="184" spans="1:6" x14ac:dyDescent="0.3">
      <c r="A184" t="s">
        <v>32</v>
      </c>
      <c r="B184" t="str">
        <f>TRIM(Indice2026!$D$3)</f>
        <v>Embarazo adolescente</v>
      </c>
      <c r="C184" s="59">
        <f>Indice2026!D35</f>
        <v>11.5</v>
      </c>
      <c r="D184" t="str">
        <f>TRIM(Indice2026!$D$5)</f>
        <v>Porcentaje de nacimientos registrados de madres menores de 20 años</v>
      </c>
      <c r="E184" t="str">
        <f>TRIM(Indice2026!$D$6)</f>
        <v>Porcentaje</v>
      </c>
      <c r="F184" t="s">
        <v>144</v>
      </c>
    </row>
    <row r="185" spans="1:6" x14ac:dyDescent="0.3">
      <c r="A185" t="s">
        <v>33</v>
      </c>
      <c r="B185" t="str">
        <f>TRIM(Indice2026!$D$3)</f>
        <v>Embarazo adolescente</v>
      </c>
      <c r="C185" s="59">
        <f>Indice2026!D36</f>
        <v>13.7</v>
      </c>
      <c r="D185" t="str">
        <f>TRIM(Indice2026!$D$5)</f>
        <v>Porcentaje de nacimientos registrados de madres menores de 20 años</v>
      </c>
      <c r="E185" t="str">
        <f>TRIM(Indice2026!$D$6)</f>
        <v>Porcentaje</v>
      </c>
      <c r="F185" t="s">
        <v>144</v>
      </c>
    </row>
    <row r="186" spans="1:6" x14ac:dyDescent="0.3">
      <c r="A186" t="s">
        <v>34</v>
      </c>
      <c r="B186" t="str">
        <f>TRIM(Indice2026!$D$3)</f>
        <v>Embarazo adolescente</v>
      </c>
      <c r="C186" s="59">
        <f>Indice2026!D37</f>
        <v>11.8</v>
      </c>
      <c r="D186" t="str">
        <f>TRIM(Indice2026!$D$5)</f>
        <v>Porcentaje de nacimientos registrados de madres menores de 20 años</v>
      </c>
      <c r="E186" t="str">
        <f>TRIM(Indice2026!$D$6)</f>
        <v>Porcentaje</v>
      </c>
      <c r="F186" t="s">
        <v>144</v>
      </c>
    </row>
    <row r="187" spans="1:6" x14ac:dyDescent="0.3">
      <c r="A187" t="s">
        <v>35</v>
      </c>
      <c r="B187" t="str">
        <f>TRIM(Indice2026!$D$3)</f>
        <v>Embarazo adolescente</v>
      </c>
      <c r="C187" s="59">
        <f>Indice2026!D38</f>
        <v>14.7</v>
      </c>
      <c r="D187" t="str">
        <f>TRIM(Indice2026!$D$5)</f>
        <v>Porcentaje de nacimientos registrados de madres menores de 20 años</v>
      </c>
      <c r="E187" t="str">
        <f>TRIM(Indice2026!$D$6)</f>
        <v>Porcentaje</v>
      </c>
      <c r="F187" t="s">
        <v>144</v>
      </c>
    </row>
    <row r="188" spans="1:6" x14ac:dyDescent="0.3">
      <c r="A188" t="s">
        <v>36</v>
      </c>
      <c r="B188" t="str">
        <f>TRIM(Indice2026!$D$3)</f>
        <v>Embarazo adolescente</v>
      </c>
      <c r="C188" s="59">
        <f>Indice2026!D39</f>
        <v>15.1</v>
      </c>
      <c r="D188" t="str">
        <f>TRIM(Indice2026!$D$5)</f>
        <v>Porcentaje de nacimientos registrados de madres menores de 20 años</v>
      </c>
      <c r="E188" t="str">
        <f>TRIM(Indice2026!$D$6)</f>
        <v>Porcentaje</v>
      </c>
      <c r="F188" t="s">
        <v>144</v>
      </c>
    </row>
    <row r="189" spans="1:6" x14ac:dyDescent="0.3">
      <c r="A189" t="s">
        <v>37</v>
      </c>
      <c r="B189" t="str">
        <f>TRIM(Indice2026!$D$3)</f>
        <v>Embarazo adolescente</v>
      </c>
      <c r="C189" s="59">
        <f>Indice2026!D40</f>
        <v>13.4</v>
      </c>
      <c r="D189" t="str">
        <f>TRIM(Indice2026!$D$5)</f>
        <v>Porcentaje de nacimientos registrados de madres menores de 20 años</v>
      </c>
      <c r="E189" t="str">
        <f>TRIM(Indice2026!$D$6)</f>
        <v>Porcentaje</v>
      </c>
      <c r="F189" t="s">
        <v>144</v>
      </c>
    </row>
    <row r="190" spans="1:6" x14ac:dyDescent="0.3">
      <c r="A190" t="s">
        <v>38</v>
      </c>
      <c r="B190" t="str">
        <f>TRIM(Indice2026!$D$3)</f>
        <v>Embarazo adolescente</v>
      </c>
      <c r="C190" s="59">
        <f>Indice2026!D41</f>
        <v>15.9</v>
      </c>
      <c r="D190" t="str">
        <f>TRIM(Indice2026!$D$5)</f>
        <v>Porcentaje de nacimientos registrados de madres menores de 20 años</v>
      </c>
      <c r="E190" t="str">
        <f>TRIM(Indice2026!$D$6)</f>
        <v>Porcentaje</v>
      </c>
      <c r="F190" t="s">
        <v>144</v>
      </c>
    </row>
    <row r="191" spans="1:6" x14ac:dyDescent="0.3">
      <c r="A191" t="s">
        <v>39</v>
      </c>
      <c r="B191" t="str">
        <f>TRIM(Indice2026!$D$3)</f>
        <v>Embarazo adolescente</v>
      </c>
      <c r="C191" s="59">
        <f>Indice2026!D42</f>
        <v>15.7</v>
      </c>
      <c r="D191" t="str">
        <f>TRIM(Indice2026!$D$5)</f>
        <v>Porcentaje de nacimientos registrados de madres menores de 20 años</v>
      </c>
      <c r="E191" t="str">
        <f>TRIM(Indice2026!$D$6)</f>
        <v>Porcentaje</v>
      </c>
      <c r="F191" t="s">
        <v>144</v>
      </c>
    </row>
    <row r="192" spans="1:6" x14ac:dyDescent="0.3">
      <c r="A192" t="s">
        <v>40</v>
      </c>
      <c r="B192" t="str">
        <f>TRIM(Indice2026!$D$3)</f>
        <v>Embarazo adolescente</v>
      </c>
      <c r="C192" s="59">
        <f>Indice2026!D43</f>
        <v>13.5</v>
      </c>
      <c r="D192" t="str">
        <f>TRIM(Indice2026!$D$5)</f>
        <v>Porcentaje de nacimientos registrados de madres menores de 20 años</v>
      </c>
      <c r="E192" t="str">
        <f>TRIM(Indice2026!$D$6)</f>
        <v>Porcentaje</v>
      </c>
      <c r="F192" t="s">
        <v>144</v>
      </c>
    </row>
    <row r="193" spans="1:6" x14ac:dyDescent="0.3">
      <c r="A193" t="s">
        <v>41</v>
      </c>
      <c r="B193" t="str">
        <f>TRIM(Indice2026!$D$3)</f>
        <v>Embarazo adolescente</v>
      </c>
      <c r="C193" s="59">
        <f>Indice2026!D44</f>
        <v>14.6</v>
      </c>
      <c r="D193" t="str">
        <f>TRIM(Indice2026!$D$5)</f>
        <v>Porcentaje de nacimientos registrados de madres menores de 20 años</v>
      </c>
      <c r="E193" t="str">
        <f>TRIM(Indice2026!$D$6)</f>
        <v>Porcentaje</v>
      </c>
      <c r="F193" t="s">
        <v>144</v>
      </c>
    </row>
    <row r="194" spans="1:6" x14ac:dyDescent="0.3">
      <c r="A194" t="s">
        <v>7</v>
      </c>
      <c r="B194" t="str">
        <f>TRIM(Indice2026!$Q$3)</f>
        <v>Emprendedoras formales</v>
      </c>
      <c r="C194" s="59">
        <f>Indice2026!Q13</f>
        <v>24.627772713460956</v>
      </c>
      <c r="D194" t="str">
        <f>TRIM(Indice2026!$Q$5)</f>
        <v>Porcentaje de emprendedoras en la formalidad</v>
      </c>
      <c r="E194" t="str">
        <f>TRIM(Indice2026!$Q$6)</f>
        <v>Porcentaje</v>
      </c>
      <c r="F194" t="s">
        <v>141</v>
      </c>
    </row>
    <row r="195" spans="1:6" x14ac:dyDescent="0.3">
      <c r="A195" t="s">
        <v>12</v>
      </c>
      <c r="B195" t="str">
        <f>TRIM(Indice2026!$Q$3)</f>
        <v>Emprendedoras formales</v>
      </c>
      <c r="C195" s="59">
        <f>Indice2026!Q14</f>
        <v>22.254182067464328</v>
      </c>
      <c r="D195" t="str">
        <f>TRIM(Indice2026!$Q$5)</f>
        <v>Porcentaje de emprendedoras en la formalidad</v>
      </c>
      <c r="E195" t="str">
        <f>TRIM(Indice2026!$Q$6)</f>
        <v>Porcentaje</v>
      </c>
      <c r="F195" t="s">
        <v>141</v>
      </c>
    </row>
    <row r="196" spans="1:6" x14ac:dyDescent="0.3">
      <c r="A196" t="s">
        <v>13</v>
      </c>
      <c r="B196" t="str">
        <f>TRIM(Indice2026!$Q$3)</f>
        <v>Emprendedoras formales</v>
      </c>
      <c r="C196" s="59">
        <f>Indice2026!Q15</f>
        <v>27.897956527398154</v>
      </c>
      <c r="D196" t="str">
        <f>TRIM(Indice2026!$Q$5)</f>
        <v>Porcentaje de emprendedoras en la formalidad</v>
      </c>
      <c r="E196" t="str">
        <f>TRIM(Indice2026!$Q$6)</f>
        <v>Porcentaje</v>
      </c>
      <c r="F196" t="s">
        <v>141</v>
      </c>
    </row>
    <row r="197" spans="1:6" x14ac:dyDescent="0.3">
      <c r="A197" t="s">
        <v>14</v>
      </c>
      <c r="B197" t="str">
        <f>TRIM(Indice2026!$Q$3)</f>
        <v>Emprendedoras formales</v>
      </c>
      <c r="C197" s="59">
        <f>Indice2026!Q16</f>
        <v>14.478185580943531</v>
      </c>
      <c r="D197" t="str">
        <f>TRIM(Indice2026!$Q$5)</f>
        <v>Porcentaje de emprendedoras en la formalidad</v>
      </c>
      <c r="E197" t="str">
        <f>TRIM(Indice2026!$Q$6)</f>
        <v>Porcentaje</v>
      </c>
      <c r="F197" t="s">
        <v>141</v>
      </c>
    </row>
    <row r="198" spans="1:6" x14ac:dyDescent="0.3">
      <c r="A198" t="s">
        <v>15</v>
      </c>
      <c r="B198" t="str">
        <f>TRIM(Indice2026!$Q$3)</f>
        <v>Emprendedoras formales</v>
      </c>
      <c r="C198" s="59">
        <f>Indice2026!Q19</f>
        <v>13.969202162510385</v>
      </c>
      <c r="D198" t="str">
        <f>TRIM(Indice2026!$Q$5)</f>
        <v>Porcentaje de emprendedoras en la formalidad</v>
      </c>
      <c r="E198" t="str">
        <f>TRIM(Indice2026!$Q$6)</f>
        <v>Porcentaje</v>
      </c>
      <c r="F198" t="s">
        <v>141</v>
      </c>
    </row>
    <row r="199" spans="1:6" x14ac:dyDescent="0.3">
      <c r="A199" t="s">
        <v>16</v>
      </c>
      <c r="B199" t="str">
        <f>TRIM(Indice2026!$Q$3)</f>
        <v>Emprendedoras formales</v>
      </c>
      <c r="C199" s="59">
        <f>Indice2026!Q20</f>
        <v>28.879425318015841</v>
      </c>
      <c r="D199" t="str">
        <f>TRIM(Indice2026!$Q$5)</f>
        <v>Porcentaje de emprendedoras en la formalidad</v>
      </c>
      <c r="E199" t="str">
        <f>TRIM(Indice2026!$Q$6)</f>
        <v>Porcentaje</v>
      </c>
      <c r="F199" t="s">
        <v>141</v>
      </c>
    </row>
    <row r="200" spans="1:6" x14ac:dyDescent="0.3">
      <c r="A200" t="s">
        <v>17</v>
      </c>
      <c r="B200" t="str">
        <f>TRIM(Indice2026!$Q$3)</f>
        <v>Emprendedoras formales</v>
      </c>
      <c r="C200" s="59">
        <f>Indice2026!Q21</f>
        <v>20.290387219862502</v>
      </c>
      <c r="D200" t="str">
        <f>TRIM(Indice2026!$Q$5)</f>
        <v>Porcentaje de emprendedoras en la formalidad</v>
      </c>
      <c r="E200" t="str">
        <f>TRIM(Indice2026!$Q$6)</f>
        <v>Porcentaje</v>
      </c>
      <c r="F200" t="s">
        <v>141</v>
      </c>
    </row>
    <row r="201" spans="1:6" x14ac:dyDescent="0.3">
      <c r="A201" t="s">
        <v>18</v>
      </c>
      <c r="B201" t="str">
        <f>TRIM(Indice2026!$Q$3)</f>
        <v>Emprendedoras formales</v>
      </c>
      <c r="C201" s="59">
        <f>Indice2026!Q17</f>
        <v>17.473440535736433</v>
      </c>
      <c r="D201" t="str">
        <f>TRIM(Indice2026!$Q$5)</f>
        <v>Porcentaje de emprendedoras en la formalidad</v>
      </c>
      <c r="E201" t="str">
        <f>TRIM(Indice2026!$Q$6)</f>
        <v>Porcentaje</v>
      </c>
      <c r="F201" t="s">
        <v>141</v>
      </c>
    </row>
    <row r="202" spans="1:6" x14ac:dyDescent="0.3">
      <c r="A202" t="s">
        <v>19</v>
      </c>
      <c r="B202" t="str">
        <f>TRIM(Indice2026!$Q$3)</f>
        <v>Emprendedoras formales</v>
      </c>
      <c r="C202" s="59">
        <f>Indice2026!Q18</f>
        <v>29.223555778361003</v>
      </c>
      <c r="D202" t="str">
        <f>TRIM(Indice2026!$Q$5)</f>
        <v>Porcentaje de emprendedoras en la formalidad</v>
      </c>
      <c r="E202" t="str">
        <f>TRIM(Indice2026!$Q$6)</f>
        <v>Porcentaje</v>
      </c>
      <c r="F202" t="s">
        <v>141</v>
      </c>
    </row>
    <row r="203" spans="1:6" x14ac:dyDescent="0.3">
      <c r="A203" t="s">
        <v>20</v>
      </c>
      <c r="B203" t="str">
        <f>TRIM(Indice2026!$Q$3)</f>
        <v>Emprendedoras formales</v>
      </c>
      <c r="C203" s="59">
        <f>Indice2026!Q22</f>
        <v>14.070141807368083</v>
      </c>
      <c r="D203" t="str">
        <f>TRIM(Indice2026!$Q$5)</f>
        <v>Porcentaje de emprendedoras en la formalidad</v>
      </c>
      <c r="E203" t="str">
        <f>TRIM(Indice2026!$Q$6)</f>
        <v>Porcentaje</v>
      </c>
      <c r="F203" t="s">
        <v>141</v>
      </c>
    </row>
    <row r="204" spans="1:6" x14ac:dyDescent="0.3">
      <c r="A204" t="s">
        <v>21</v>
      </c>
      <c r="B204" t="str">
        <f>TRIM(Indice2026!$Q$3)</f>
        <v>Emprendedoras formales</v>
      </c>
      <c r="C204" s="59">
        <f>Indice2026!Q23</f>
        <v>17.828628430435327</v>
      </c>
      <c r="D204" t="str">
        <f>TRIM(Indice2026!$Q$5)</f>
        <v>Porcentaje de emprendedoras en la formalidad</v>
      </c>
      <c r="E204" t="str">
        <f>TRIM(Indice2026!$Q$6)</f>
        <v>Porcentaje</v>
      </c>
      <c r="F204" t="s">
        <v>141</v>
      </c>
    </row>
    <row r="205" spans="1:6" x14ac:dyDescent="0.3">
      <c r="A205" t="s">
        <v>22</v>
      </c>
      <c r="B205" t="str">
        <f>TRIM(Indice2026!$Q$3)</f>
        <v>Emprendedoras formales</v>
      </c>
      <c r="C205" s="59">
        <f>Indice2026!Q24</f>
        <v>5.8546730585467301</v>
      </c>
      <c r="D205" t="str">
        <f>TRIM(Indice2026!$Q$5)</f>
        <v>Porcentaje de emprendedoras en la formalidad</v>
      </c>
      <c r="E205" t="str">
        <f>TRIM(Indice2026!$Q$6)</f>
        <v>Porcentaje</v>
      </c>
      <c r="F205" t="s">
        <v>141</v>
      </c>
    </row>
    <row r="206" spans="1:6" x14ac:dyDescent="0.3">
      <c r="A206" t="s">
        <v>23</v>
      </c>
      <c r="B206" t="str">
        <f>TRIM(Indice2026!$Q$3)</f>
        <v>Emprendedoras formales</v>
      </c>
      <c r="C206" s="59">
        <f>Indice2026!Q25</f>
        <v>7.8827635553273652</v>
      </c>
      <c r="D206" t="str">
        <f>TRIM(Indice2026!$Q$5)</f>
        <v>Porcentaje de emprendedoras en la formalidad</v>
      </c>
      <c r="E206" t="str">
        <f>TRIM(Indice2026!$Q$6)</f>
        <v>Porcentaje</v>
      </c>
      <c r="F206" t="s">
        <v>141</v>
      </c>
    </row>
    <row r="207" spans="1:6" x14ac:dyDescent="0.3">
      <c r="A207" t="s">
        <v>24</v>
      </c>
      <c r="B207" t="str">
        <f>TRIM(Indice2026!$Q$3)</f>
        <v>Emprendedoras formales</v>
      </c>
      <c r="C207" s="59">
        <f>Indice2026!Q26</f>
        <v>22.886041348431345</v>
      </c>
      <c r="D207" t="str">
        <f>TRIM(Indice2026!$Q$5)</f>
        <v>Porcentaje de emprendedoras en la formalidad</v>
      </c>
      <c r="E207" t="str">
        <f>TRIM(Indice2026!$Q$6)</f>
        <v>Porcentaje</v>
      </c>
      <c r="F207" t="s">
        <v>141</v>
      </c>
    </row>
    <row r="208" spans="1:6" x14ac:dyDescent="0.3">
      <c r="A208" t="s">
        <v>25</v>
      </c>
      <c r="B208" t="str">
        <f>TRIM(Indice2026!$Q$3)</f>
        <v>Emprendedoras formales</v>
      </c>
      <c r="C208" s="59">
        <f>Indice2026!Q28</f>
        <v>14.172606812435639</v>
      </c>
      <c r="D208" t="str">
        <f>TRIM(Indice2026!$Q$5)</f>
        <v>Porcentaje de emprendedoras en la formalidad</v>
      </c>
      <c r="E208" t="str">
        <f>TRIM(Indice2026!$Q$6)</f>
        <v>Porcentaje</v>
      </c>
      <c r="F208" t="s">
        <v>141</v>
      </c>
    </row>
    <row r="209" spans="1:6" x14ac:dyDescent="0.3">
      <c r="A209" t="s">
        <v>26</v>
      </c>
      <c r="B209" t="str">
        <f>TRIM(Indice2026!$Q$3)</f>
        <v>Emprendedoras formales</v>
      </c>
      <c r="C209" s="59">
        <f>Indice2026!Q29</f>
        <v>21.246820638017507</v>
      </c>
      <c r="D209" t="str">
        <f>TRIM(Indice2026!$Q$5)</f>
        <v>Porcentaje de emprendedoras en la formalidad</v>
      </c>
      <c r="E209" t="str">
        <f>TRIM(Indice2026!$Q$6)</f>
        <v>Porcentaje</v>
      </c>
      <c r="F209" t="s">
        <v>141</v>
      </c>
    </row>
    <row r="210" spans="1:6" x14ac:dyDescent="0.3">
      <c r="A210" t="s">
        <v>0</v>
      </c>
      <c r="B210" t="str">
        <f>TRIM(Indice2026!$Q$3)</f>
        <v>Emprendedoras formales</v>
      </c>
      <c r="C210" s="59">
        <f>Indice2026!Q27</f>
        <v>14.242585994149209</v>
      </c>
      <c r="D210" t="str">
        <f>TRIM(Indice2026!$Q$5)</f>
        <v>Porcentaje de emprendedoras en la formalidad</v>
      </c>
      <c r="E210" t="str">
        <f>TRIM(Indice2026!$Q$6)</f>
        <v>Porcentaje</v>
      </c>
      <c r="F210" t="s">
        <v>141</v>
      </c>
    </row>
    <row r="211" spans="1:6" x14ac:dyDescent="0.3">
      <c r="A211" t="s">
        <v>27</v>
      </c>
      <c r="B211" t="str">
        <f>TRIM(Indice2026!$Q$3)</f>
        <v>Emprendedoras formales</v>
      </c>
      <c r="C211" s="59">
        <f>Indice2026!Q30</f>
        <v>20.459373932163604</v>
      </c>
      <c r="D211" t="str">
        <f>TRIM(Indice2026!$Q$5)</f>
        <v>Porcentaje de emprendedoras en la formalidad</v>
      </c>
      <c r="E211" t="str">
        <f>TRIM(Indice2026!$Q$6)</f>
        <v>Porcentaje</v>
      </c>
      <c r="F211" t="s">
        <v>141</v>
      </c>
    </row>
    <row r="212" spans="1:6" x14ac:dyDescent="0.3">
      <c r="A212" t="s">
        <v>28</v>
      </c>
      <c r="B212" t="str">
        <f>TRIM(Indice2026!$Q$3)</f>
        <v>Emprendedoras formales</v>
      </c>
      <c r="C212" s="59">
        <f>Indice2026!Q31</f>
        <v>20.439371719666564</v>
      </c>
      <c r="D212" t="str">
        <f>TRIM(Indice2026!$Q$5)</f>
        <v>Porcentaje de emprendedoras en la formalidad</v>
      </c>
      <c r="E212" t="str">
        <f>TRIM(Indice2026!$Q$6)</f>
        <v>Porcentaje</v>
      </c>
      <c r="F212" t="s">
        <v>141</v>
      </c>
    </row>
    <row r="213" spans="1:6" x14ac:dyDescent="0.3">
      <c r="A213" t="s">
        <v>29</v>
      </c>
      <c r="B213" t="str">
        <f>TRIM(Indice2026!$Q$3)</f>
        <v>Emprendedoras formales</v>
      </c>
      <c r="C213" s="59">
        <f>Indice2026!Q32</f>
        <v>4.1260556810370224</v>
      </c>
      <c r="D213" t="str">
        <f>TRIM(Indice2026!$Q$5)</f>
        <v>Porcentaje de emprendedoras en la formalidad</v>
      </c>
      <c r="E213" t="str">
        <f>TRIM(Indice2026!$Q$6)</f>
        <v>Porcentaje</v>
      </c>
      <c r="F213" t="s">
        <v>141</v>
      </c>
    </row>
    <row r="214" spans="1:6" x14ac:dyDescent="0.3">
      <c r="A214" t="s">
        <v>30</v>
      </c>
      <c r="B214" t="str">
        <f>TRIM(Indice2026!$Q$3)</f>
        <v>Emprendedoras formales</v>
      </c>
      <c r="C214" s="59">
        <f>Indice2026!Q33</f>
        <v>17.116637551638565</v>
      </c>
      <c r="D214" t="str">
        <f>TRIM(Indice2026!$Q$5)</f>
        <v>Porcentaje de emprendedoras en la formalidad</v>
      </c>
      <c r="E214" t="str">
        <f>TRIM(Indice2026!$Q$6)</f>
        <v>Porcentaje</v>
      </c>
      <c r="F214" t="s">
        <v>141</v>
      </c>
    </row>
    <row r="215" spans="1:6" x14ac:dyDescent="0.3">
      <c r="A215" t="s">
        <v>31</v>
      </c>
      <c r="B215" t="str">
        <f>TRIM(Indice2026!$Q$3)</f>
        <v>Emprendedoras formales</v>
      </c>
      <c r="C215" s="59">
        <f>Indice2026!Q34</f>
        <v>30.774648954057287</v>
      </c>
      <c r="D215" t="str">
        <f>TRIM(Indice2026!$Q$5)</f>
        <v>Porcentaje de emprendedoras en la formalidad</v>
      </c>
      <c r="E215" t="str">
        <f>TRIM(Indice2026!$Q$6)</f>
        <v>Porcentaje</v>
      </c>
      <c r="F215" t="s">
        <v>141</v>
      </c>
    </row>
    <row r="216" spans="1:6" x14ac:dyDescent="0.3">
      <c r="A216" t="s">
        <v>32</v>
      </c>
      <c r="B216" t="str">
        <f>TRIM(Indice2026!$Q$3)</f>
        <v>Emprendedoras formales</v>
      </c>
      <c r="C216" s="59">
        <f>Indice2026!Q35</f>
        <v>21.954824759647686</v>
      </c>
      <c r="D216" t="str">
        <f>TRIM(Indice2026!$Q$5)</f>
        <v>Porcentaje de emprendedoras en la formalidad</v>
      </c>
      <c r="E216" t="str">
        <f>TRIM(Indice2026!$Q$6)</f>
        <v>Porcentaje</v>
      </c>
      <c r="F216" t="s">
        <v>141</v>
      </c>
    </row>
    <row r="217" spans="1:6" x14ac:dyDescent="0.3">
      <c r="A217" t="s">
        <v>33</v>
      </c>
      <c r="B217" t="str">
        <f>TRIM(Indice2026!$Q$3)</f>
        <v>Emprendedoras formales</v>
      </c>
      <c r="C217" s="59">
        <f>Indice2026!Q36</f>
        <v>16.499452986523963</v>
      </c>
      <c r="D217" t="str">
        <f>TRIM(Indice2026!$Q$5)</f>
        <v>Porcentaje de emprendedoras en la formalidad</v>
      </c>
      <c r="E217" t="str">
        <f>TRIM(Indice2026!$Q$6)</f>
        <v>Porcentaje</v>
      </c>
      <c r="F217" t="s">
        <v>141</v>
      </c>
    </row>
    <row r="218" spans="1:6" x14ac:dyDescent="0.3">
      <c r="A218" t="s">
        <v>34</v>
      </c>
      <c r="B218" t="str">
        <f>TRIM(Indice2026!$Q$3)</f>
        <v>Emprendedoras formales</v>
      </c>
      <c r="C218" s="59">
        <f>Indice2026!Q37</f>
        <v>17.782713633921627</v>
      </c>
      <c r="D218" t="str">
        <f>TRIM(Indice2026!$Q$5)</f>
        <v>Porcentaje de emprendedoras en la formalidad</v>
      </c>
      <c r="E218" t="str">
        <f>TRIM(Indice2026!$Q$6)</f>
        <v>Porcentaje</v>
      </c>
      <c r="F218" t="s">
        <v>141</v>
      </c>
    </row>
    <row r="219" spans="1:6" x14ac:dyDescent="0.3">
      <c r="A219" t="s">
        <v>35</v>
      </c>
      <c r="B219" t="str">
        <f>TRIM(Indice2026!$Q$3)</f>
        <v>Emprendedoras formales</v>
      </c>
      <c r="C219" s="59">
        <f>Indice2026!Q38</f>
        <v>19.020469796289895</v>
      </c>
      <c r="D219" t="str">
        <f>TRIM(Indice2026!$Q$5)</f>
        <v>Porcentaje de emprendedoras en la formalidad</v>
      </c>
      <c r="E219" t="str">
        <f>TRIM(Indice2026!$Q$6)</f>
        <v>Porcentaje</v>
      </c>
      <c r="F219" t="s">
        <v>141</v>
      </c>
    </row>
    <row r="220" spans="1:6" x14ac:dyDescent="0.3">
      <c r="A220" t="s">
        <v>36</v>
      </c>
      <c r="B220" t="str">
        <f>TRIM(Indice2026!$Q$3)</f>
        <v>Emprendedoras formales</v>
      </c>
      <c r="C220" s="59">
        <f>Indice2026!Q39</f>
        <v>7.3688125460593836</v>
      </c>
      <c r="D220" t="str">
        <f>TRIM(Indice2026!$Q$5)</f>
        <v>Porcentaje de emprendedoras en la formalidad</v>
      </c>
      <c r="E220" t="str">
        <f>TRIM(Indice2026!$Q$6)</f>
        <v>Porcentaje</v>
      </c>
      <c r="F220" t="s">
        <v>141</v>
      </c>
    </row>
    <row r="221" spans="1:6" x14ac:dyDescent="0.3">
      <c r="A221" t="s">
        <v>37</v>
      </c>
      <c r="B221" t="str">
        <f>TRIM(Indice2026!$Q$3)</f>
        <v>Emprendedoras formales</v>
      </c>
      <c r="C221" s="59">
        <f>Indice2026!Q40</f>
        <v>21.107793009913976</v>
      </c>
      <c r="D221" t="str">
        <f>TRIM(Indice2026!$Q$5)</f>
        <v>Porcentaje de emprendedoras en la formalidad</v>
      </c>
      <c r="E221" t="str">
        <f>TRIM(Indice2026!$Q$6)</f>
        <v>Porcentaje</v>
      </c>
      <c r="F221" t="s">
        <v>141</v>
      </c>
    </row>
    <row r="222" spans="1:6" x14ac:dyDescent="0.3">
      <c r="A222" t="s">
        <v>38</v>
      </c>
      <c r="B222" t="str">
        <f>TRIM(Indice2026!$Q$3)</f>
        <v>Emprendedoras formales</v>
      </c>
      <c r="C222" s="59">
        <f>Indice2026!Q41</f>
        <v>6.7344060939126775</v>
      </c>
      <c r="D222" t="str">
        <f>TRIM(Indice2026!$Q$5)</f>
        <v>Porcentaje de emprendedoras en la formalidad</v>
      </c>
      <c r="E222" t="str">
        <f>TRIM(Indice2026!$Q$6)</f>
        <v>Porcentaje</v>
      </c>
      <c r="F222" t="s">
        <v>141</v>
      </c>
    </row>
    <row r="223" spans="1:6" x14ac:dyDescent="0.3">
      <c r="A223" t="s">
        <v>39</v>
      </c>
      <c r="B223" t="str">
        <f>TRIM(Indice2026!$Q$3)</f>
        <v>Emprendedoras formales</v>
      </c>
      <c r="C223" s="59">
        <f>Indice2026!Q42</f>
        <v>8.0017308081524785</v>
      </c>
      <c r="D223" t="str">
        <f>TRIM(Indice2026!$Q$5)</f>
        <v>Porcentaje de emprendedoras en la formalidad</v>
      </c>
      <c r="E223" t="str">
        <f>TRIM(Indice2026!$Q$6)</f>
        <v>Porcentaje</v>
      </c>
      <c r="F223" t="s">
        <v>141</v>
      </c>
    </row>
    <row r="224" spans="1:6" x14ac:dyDescent="0.3">
      <c r="A224" t="s">
        <v>40</v>
      </c>
      <c r="B224" t="str">
        <f>TRIM(Indice2026!$Q$3)</f>
        <v>Emprendedoras formales</v>
      </c>
      <c r="C224" s="59">
        <f>Indice2026!Q43</f>
        <v>13.333113304069441</v>
      </c>
      <c r="D224" t="str">
        <f>TRIM(Indice2026!$Q$5)</f>
        <v>Porcentaje de emprendedoras en la formalidad</v>
      </c>
      <c r="E224" t="str">
        <f>TRIM(Indice2026!$Q$6)</f>
        <v>Porcentaje</v>
      </c>
      <c r="F224" t="s">
        <v>141</v>
      </c>
    </row>
    <row r="225" spans="1:6" x14ac:dyDescent="0.3">
      <c r="A225" t="s">
        <v>41</v>
      </c>
      <c r="B225" t="str">
        <f>TRIM(Indice2026!$Q$3)</f>
        <v>Emprendedoras formales</v>
      </c>
      <c r="C225" s="59">
        <f>Indice2026!Q44</f>
        <v>30.90608813152166</v>
      </c>
      <c r="D225" t="str">
        <f>TRIM(Indice2026!$Q$5)</f>
        <v>Porcentaje de emprendedoras en la formalidad</v>
      </c>
      <c r="E225" t="str">
        <f>TRIM(Indice2026!$Q$6)</f>
        <v>Porcentaje</v>
      </c>
      <c r="F225" t="s">
        <v>141</v>
      </c>
    </row>
    <row r="226" spans="1:6" x14ac:dyDescent="0.3">
      <c r="A226" t="s">
        <v>7</v>
      </c>
      <c r="B226" t="str">
        <f>TRIM(Indice2026!$G$3)</f>
        <v>Homicidios dolosos de mujeres</v>
      </c>
      <c r="C226" s="59">
        <f>Indice2026!G13</f>
        <v>0.88634185192266546</v>
      </c>
      <c r="D226" t="str">
        <f>TRIM(Indice2026!$G$5)</f>
        <v>Mujeres víctimas de homicidios dolosos y feminicidios por cada 100 mil mujeres</v>
      </c>
      <c r="E226" t="str">
        <f>TRIM(Indice2026!$G$6)</f>
        <v>Tasa</v>
      </c>
      <c r="F226" t="s">
        <v>142</v>
      </c>
    </row>
    <row r="227" spans="1:6" x14ac:dyDescent="0.3">
      <c r="A227" t="s">
        <v>12</v>
      </c>
      <c r="B227" t="str">
        <f>TRIM(Indice2026!$G$3)</f>
        <v>Homicidios dolosos de mujeres</v>
      </c>
      <c r="C227" s="59">
        <f>Indice2026!G14</f>
        <v>10.968369288762734</v>
      </c>
      <c r="D227" t="str">
        <f>TRIM(Indice2026!$G$5)</f>
        <v>Mujeres víctimas de homicidios dolosos y feminicidios por cada 100 mil mujeres</v>
      </c>
      <c r="E227" t="str">
        <f>TRIM(Indice2026!$G$6)</f>
        <v>Tasa</v>
      </c>
      <c r="F227" t="s">
        <v>142</v>
      </c>
    </row>
    <row r="228" spans="1:6" x14ac:dyDescent="0.3">
      <c r="A228" t="s">
        <v>13</v>
      </c>
      <c r="B228" t="str">
        <f>TRIM(Indice2026!$G$3)</f>
        <v>Homicidios dolosos de mujeres</v>
      </c>
      <c r="C228" s="59">
        <f>Indice2026!G15</f>
        <v>3.8388929535990752</v>
      </c>
      <c r="D228" t="str">
        <f>TRIM(Indice2026!$G$5)</f>
        <v>Mujeres víctimas de homicidios dolosos y feminicidios por cada 100 mil mujeres</v>
      </c>
      <c r="E228" t="str">
        <f>TRIM(Indice2026!$G$6)</f>
        <v>Tasa</v>
      </c>
      <c r="F228" t="s">
        <v>142</v>
      </c>
    </row>
    <row r="229" spans="1:6" x14ac:dyDescent="0.3">
      <c r="A229" t="s">
        <v>14</v>
      </c>
      <c r="B229" t="str">
        <f>TRIM(Indice2026!$G$3)</f>
        <v>Homicidios dolosos de mujeres</v>
      </c>
      <c r="C229" s="59">
        <f>Indice2026!G16</f>
        <v>2.6626194850493916</v>
      </c>
      <c r="D229" t="str">
        <f>TRIM(Indice2026!$G$5)</f>
        <v>Mujeres víctimas de homicidios dolosos y feminicidios por cada 100 mil mujeres</v>
      </c>
      <c r="E229" t="str">
        <f>TRIM(Indice2026!$G$6)</f>
        <v>Tasa</v>
      </c>
      <c r="F229" t="s">
        <v>142</v>
      </c>
    </row>
    <row r="230" spans="1:6" x14ac:dyDescent="0.3">
      <c r="A230" t="s">
        <v>15</v>
      </c>
      <c r="B230" t="str">
        <f>TRIM(Indice2026!$G$3)</f>
        <v>Homicidios dolosos de mujeres</v>
      </c>
      <c r="C230" s="59">
        <f>Indice2026!G19</f>
        <v>1.9192102066157737</v>
      </c>
      <c r="D230" t="str">
        <f>TRIM(Indice2026!$G$5)</f>
        <v>Mujeres víctimas de homicidios dolosos y feminicidios por cada 100 mil mujeres</v>
      </c>
      <c r="E230" t="str">
        <f>TRIM(Indice2026!$G$6)</f>
        <v>Tasa</v>
      </c>
      <c r="F230" t="s">
        <v>142</v>
      </c>
    </row>
    <row r="231" spans="1:6" x14ac:dyDescent="0.3">
      <c r="A231" t="s">
        <v>16</v>
      </c>
      <c r="B231" t="str">
        <f>TRIM(Indice2026!$G$3)</f>
        <v>Homicidios dolosos de mujeres</v>
      </c>
      <c r="C231" s="59">
        <f>Indice2026!G20</f>
        <v>8.5047720671639642</v>
      </c>
      <c r="D231" t="str">
        <f>TRIM(Indice2026!$G$5)</f>
        <v>Mujeres víctimas de homicidios dolosos y feminicidios por cada 100 mil mujeres</v>
      </c>
      <c r="E231" t="str">
        <f>TRIM(Indice2026!$G$6)</f>
        <v>Tasa</v>
      </c>
      <c r="F231" t="s">
        <v>142</v>
      </c>
    </row>
    <row r="232" spans="1:6" x14ac:dyDescent="0.3">
      <c r="A232" t="s">
        <v>17</v>
      </c>
      <c r="B232" t="str">
        <f>TRIM(Indice2026!$G$3)</f>
        <v>Homicidios dolosos de mujeres</v>
      </c>
      <c r="C232" s="59">
        <f>Indice2026!G21</f>
        <v>2.4499472633146784</v>
      </c>
      <c r="D232" t="str">
        <f>TRIM(Indice2026!$G$5)</f>
        <v>Mujeres víctimas de homicidios dolosos y feminicidios por cada 100 mil mujeres</v>
      </c>
      <c r="E232" t="str">
        <f>TRIM(Indice2026!$G$6)</f>
        <v>Tasa</v>
      </c>
      <c r="F232" t="s">
        <v>142</v>
      </c>
    </row>
    <row r="233" spans="1:6" x14ac:dyDescent="0.3">
      <c r="A233" t="s">
        <v>18</v>
      </c>
      <c r="B233" t="str">
        <f>TRIM(Indice2026!$G$3)</f>
        <v>Homicidios dolosos de mujeres</v>
      </c>
      <c r="C233" s="59">
        <f>Indice2026!G17</f>
        <v>0.70489384298724611</v>
      </c>
      <c r="D233" t="str">
        <f>TRIM(Indice2026!$G$5)</f>
        <v>Mujeres víctimas de homicidios dolosos y feminicidios por cada 100 mil mujeres</v>
      </c>
      <c r="E233" t="str">
        <f>TRIM(Indice2026!$G$6)</f>
        <v>Tasa</v>
      </c>
      <c r="F233" t="s">
        <v>142</v>
      </c>
    </row>
    <row r="234" spans="1:6" x14ac:dyDescent="0.3">
      <c r="A234" t="s">
        <v>19</v>
      </c>
      <c r="B234" t="str">
        <f>TRIM(Indice2026!$G$3)</f>
        <v>Homicidios dolosos de mujeres</v>
      </c>
      <c r="C234" s="59">
        <f>Indice2026!G18</f>
        <v>25.306322707260072</v>
      </c>
      <c r="D234" t="str">
        <f>TRIM(Indice2026!$G$5)</f>
        <v>Mujeres víctimas de homicidios dolosos y feminicidios por cada 100 mil mujeres</v>
      </c>
      <c r="E234" t="str">
        <f>TRIM(Indice2026!$G$6)</f>
        <v>Tasa</v>
      </c>
      <c r="F234" t="s">
        <v>142</v>
      </c>
    </row>
    <row r="235" spans="1:6" x14ac:dyDescent="0.3">
      <c r="A235" t="s">
        <v>20</v>
      </c>
      <c r="B235" t="str">
        <f>TRIM(Indice2026!$G$3)</f>
        <v>Homicidios dolosos de mujeres</v>
      </c>
      <c r="C235" s="59">
        <f>Indice2026!G22</f>
        <v>0.72021573547916462</v>
      </c>
      <c r="D235" t="str">
        <f>TRIM(Indice2026!$G$5)</f>
        <v>Mujeres víctimas de homicidios dolosos y feminicidios por cada 100 mil mujeres</v>
      </c>
      <c r="E235" t="str">
        <f>TRIM(Indice2026!$G$6)</f>
        <v>Tasa</v>
      </c>
      <c r="F235" t="s">
        <v>142</v>
      </c>
    </row>
    <row r="236" spans="1:6" x14ac:dyDescent="0.3">
      <c r="A236" t="s">
        <v>21</v>
      </c>
      <c r="B236" t="str">
        <f>TRIM(Indice2026!$G$3)</f>
        <v>Homicidios dolosos de mujeres</v>
      </c>
      <c r="C236" s="59">
        <f>Indice2026!G23</f>
        <v>10.262423556099316</v>
      </c>
      <c r="D236" t="str">
        <f>TRIM(Indice2026!$G$5)</f>
        <v>Mujeres víctimas de homicidios dolosos y feminicidios por cada 100 mil mujeres</v>
      </c>
      <c r="E236" t="str">
        <f>TRIM(Indice2026!$G$6)</f>
        <v>Tasa</v>
      </c>
      <c r="F236" t="s">
        <v>142</v>
      </c>
    </row>
    <row r="237" spans="1:6" x14ac:dyDescent="0.3">
      <c r="A237" t="s">
        <v>22</v>
      </c>
      <c r="B237" t="str">
        <f>TRIM(Indice2026!$G$3)</f>
        <v>Homicidios dolosos de mujeres</v>
      </c>
      <c r="C237" s="59">
        <f>Indice2026!G24</f>
        <v>7.1616545773661793</v>
      </c>
      <c r="D237" t="str">
        <f>TRIM(Indice2026!$G$5)</f>
        <v>Mujeres víctimas de homicidios dolosos y feminicidios por cada 100 mil mujeres</v>
      </c>
      <c r="E237" t="str">
        <f>TRIM(Indice2026!$G$6)</f>
        <v>Tasa</v>
      </c>
      <c r="F237" t="s">
        <v>142</v>
      </c>
    </row>
    <row r="238" spans="1:6" x14ac:dyDescent="0.3">
      <c r="A238" t="s">
        <v>23</v>
      </c>
      <c r="B238" t="str">
        <f>TRIM(Indice2026!$G$3)</f>
        <v>Homicidios dolosos de mujeres</v>
      </c>
      <c r="C238" s="59">
        <f>Indice2026!G25</f>
        <v>2.269382710445969</v>
      </c>
      <c r="D238" t="str">
        <f>TRIM(Indice2026!$G$5)</f>
        <v>Mujeres víctimas de homicidios dolosos y feminicidios por cada 100 mil mujeres</v>
      </c>
      <c r="E238" t="str">
        <f>TRIM(Indice2026!$G$6)</f>
        <v>Tasa</v>
      </c>
      <c r="F238" t="s">
        <v>142</v>
      </c>
    </row>
    <row r="239" spans="1:6" x14ac:dyDescent="0.3">
      <c r="A239" t="s">
        <v>24</v>
      </c>
      <c r="B239" t="str">
        <f>TRIM(Indice2026!$G$3)</f>
        <v>Homicidios dolosos de mujeres</v>
      </c>
      <c r="C239" s="59">
        <f>Indice2026!G26</f>
        <v>3.52820410860478</v>
      </c>
      <c r="D239" t="str">
        <f>TRIM(Indice2026!$G$5)</f>
        <v>Mujeres víctimas de homicidios dolosos y feminicidios por cada 100 mil mujeres</v>
      </c>
      <c r="E239" t="str">
        <f>TRIM(Indice2026!$G$6)</f>
        <v>Tasa</v>
      </c>
      <c r="F239" t="s">
        <v>142</v>
      </c>
    </row>
    <row r="240" spans="1:6" x14ac:dyDescent="0.3">
      <c r="A240" t="s">
        <v>25</v>
      </c>
      <c r="B240" t="str">
        <f>TRIM(Indice2026!$G$3)</f>
        <v>Homicidios dolosos de mujeres</v>
      </c>
      <c r="C240" s="59">
        <f>Indice2026!G28</f>
        <v>6.3890192506958225</v>
      </c>
      <c r="D240" t="str">
        <f>TRIM(Indice2026!$G$5)</f>
        <v>Mujeres víctimas de homicidios dolosos y feminicidios por cada 100 mil mujeres</v>
      </c>
      <c r="E240" t="str">
        <f>TRIM(Indice2026!$G$6)</f>
        <v>Tasa</v>
      </c>
      <c r="F240" t="s">
        <v>142</v>
      </c>
    </row>
    <row r="241" spans="1:6" x14ac:dyDescent="0.3">
      <c r="A241" t="s">
        <v>26</v>
      </c>
      <c r="B241" t="str">
        <f>TRIM(Indice2026!$G$3)</f>
        <v>Homicidios dolosos de mujeres</v>
      </c>
      <c r="C241" s="59">
        <f>Indice2026!G29</f>
        <v>11.202983947724428</v>
      </c>
      <c r="D241" t="str">
        <f>TRIM(Indice2026!$G$5)</f>
        <v>Mujeres víctimas de homicidios dolosos y feminicidios por cada 100 mil mujeres</v>
      </c>
      <c r="E241" t="str">
        <f>TRIM(Indice2026!$G$6)</f>
        <v>Tasa</v>
      </c>
      <c r="F241" t="s">
        <v>142</v>
      </c>
    </row>
    <row r="242" spans="1:6" x14ac:dyDescent="0.3">
      <c r="A242" t="s">
        <v>0</v>
      </c>
      <c r="B242" t="str">
        <f>TRIM(Indice2026!$G$3)</f>
        <v>Homicidios dolosos de mujeres</v>
      </c>
      <c r="C242" s="59">
        <f>Indice2026!G27</f>
        <v>2.4997037083652693</v>
      </c>
      <c r="D242" t="str">
        <f>TRIM(Indice2026!$G$5)</f>
        <v>Mujeres víctimas de homicidios dolosos y feminicidios por cada 100 mil mujeres</v>
      </c>
      <c r="E242" t="str">
        <f>TRIM(Indice2026!$G$6)</f>
        <v>Tasa</v>
      </c>
      <c r="F242" t="s">
        <v>142</v>
      </c>
    </row>
    <row r="243" spans="1:6" x14ac:dyDescent="0.3">
      <c r="A243" t="s">
        <v>27</v>
      </c>
      <c r="B243" t="str">
        <f>TRIM(Indice2026!$G$3)</f>
        <v>Homicidios dolosos de mujeres</v>
      </c>
      <c r="C243" s="59">
        <f>Indice2026!G30</f>
        <v>2.9942091994083442</v>
      </c>
      <c r="D243" t="str">
        <f>TRIM(Indice2026!$G$5)</f>
        <v>Mujeres víctimas de homicidios dolosos y feminicidios por cada 100 mil mujeres</v>
      </c>
      <c r="E243" t="str">
        <f>TRIM(Indice2026!$G$6)</f>
        <v>Tasa</v>
      </c>
      <c r="F243" t="s">
        <v>142</v>
      </c>
    </row>
    <row r="244" spans="1:6" x14ac:dyDescent="0.3">
      <c r="A244" t="s">
        <v>28</v>
      </c>
      <c r="B244" t="str">
        <f>TRIM(Indice2026!$G$3)</f>
        <v>Homicidios dolosos de mujeres</v>
      </c>
      <c r="C244" s="59">
        <f>Indice2026!G31</f>
        <v>3.1013628766863657</v>
      </c>
      <c r="D244" t="str">
        <f>TRIM(Indice2026!$G$5)</f>
        <v>Mujeres víctimas de homicidios dolosos y feminicidios por cada 100 mil mujeres</v>
      </c>
      <c r="E244" t="str">
        <f>TRIM(Indice2026!$G$6)</f>
        <v>Tasa</v>
      </c>
      <c r="F244" t="s">
        <v>142</v>
      </c>
    </row>
    <row r="245" spans="1:6" x14ac:dyDescent="0.3">
      <c r="A245" t="s">
        <v>29</v>
      </c>
      <c r="B245" t="str">
        <f>TRIM(Indice2026!$G$3)</f>
        <v>Homicidios dolosos de mujeres</v>
      </c>
      <c r="C245" s="59">
        <f>Indice2026!G32</f>
        <v>3.8461096379970874</v>
      </c>
      <c r="D245" t="str">
        <f>TRIM(Indice2026!$G$5)</f>
        <v>Mujeres víctimas de homicidios dolosos y feminicidios por cada 100 mil mujeres</v>
      </c>
      <c r="E245" t="str">
        <f>TRIM(Indice2026!$G$6)</f>
        <v>Tasa</v>
      </c>
      <c r="F245" t="s">
        <v>142</v>
      </c>
    </row>
    <row r="246" spans="1:6" x14ac:dyDescent="0.3">
      <c r="A246" t="s">
        <v>30</v>
      </c>
      <c r="B246" t="str">
        <f>TRIM(Indice2026!$G$3)</f>
        <v>Homicidios dolosos de mujeres</v>
      </c>
      <c r="C246" s="59">
        <f>Indice2026!G33</f>
        <v>2.8393462405281182</v>
      </c>
      <c r="D246" t="str">
        <f>TRIM(Indice2026!$G$5)</f>
        <v>Mujeres víctimas de homicidios dolosos y feminicidios por cada 100 mil mujeres</v>
      </c>
      <c r="E246" t="str">
        <f>TRIM(Indice2026!$G$6)</f>
        <v>Tasa</v>
      </c>
      <c r="F246" t="s">
        <v>142</v>
      </c>
    </row>
    <row r="247" spans="1:6" x14ac:dyDescent="0.3">
      <c r="A247" t="s">
        <v>31</v>
      </c>
      <c r="B247" t="str">
        <f>TRIM(Indice2026!$G$3)</f>
        <v>Homicidios dolosos de mujeres</v>
      </c>
      <c r="C247" s="59">
        <f>Indice2026!G34</f>
        <v>1.7738372312174657</v>
      </c>
      <c r="D247" t="str">
        <f>TRIM(Indice2026!$G$5)</f>
        <v>Mujeres víctimas de homicidios dolosos y feminicidios por cada 100 mil mujeres</v>
      </c>
      <c r="E247" t="str">
        <f>TRIM(Indice2026!$G$6)</f>
        <v>Tasa</v>
      </c>
      <c r="F247" t="s">
        <v>142</v>
      </c>
    </row>
    <row r="248" spans="1:6" x14ac:dyDescent="0.3">
      <c r="A248" t="s">
        <v>32</v>
      </c>
      <c r="B248" t="str">
        <f>TRIM(Indice2026!$G$3)</f>
        <v>Homicidios dolosos de mujeres</v>
      </c>
      <c r="C248" s="59">
        <f>Indice2026!G35</f>
        <v>3.9274664010038989</v>
      </c>
      <c r="D248" t="str">
        <f>TRIM(Indice2026!$G$5)</f>
        <v>Mujeres víctimas de homicidios dolosos y feminicidios por cada 100 mil mujeres</v>
      </c>
      <c r="E248" t="str">
        <f>TRIM(Indice2026!$G$6)</f>
        <v>Tasa</v>
      </c>
      <c r="F248" t="s">
        <v>142</v>
      </c>
    </row>
    <row r="249" spans="1:6" x14ac:dyDescent="0.3">
      <c r="A249" t="s">
        <v>33</v>
      </c>
      <c r="B249" t="str">
        <f>TRIM(Indice2026!$G$3)</f>
        <v>Homicidios dolosos de mujeres</v>
      </c>
      <c r="C249" s="59">
        <f>Indice2026!G36</f>
        <v>1.8294328300868523</v>
      </c>
      <c r="D249" t="str">
        <f>TRIM(Indice2026!$G$5)</f>
        <v>Mujeres víctimas de homicidios dolosos y feminicidios por cada 100 mil mujeres</v>
      </c>
      <c r="E249" t="str">
        <f>TRIM(Indice2026!$G$6)</f>
        <v>Tasa</v>
      </c>
      <c r="F249" t="s">
        <v>142</v>
      </c>
    </row>
    <row r="250" spans="1:6" x14ac:dyDescent="0.3">
      <c r="A250" t="s">
        <v>34</v>
      </c>
      <c r="B250" t="str">
        <f>TRIM(Indice2026!$G$3)</f>
        <v>Homicidios dolosos de mujeres</v>
      </c>
      <c r="C250" s="59">
        <f>Indice2026!G37</f>
        <v>6.3376435522864911</v>
      </c>
      <c r="D250" t="str">
        <f>TRIM(Indice2026!$G$5)</f>
        <v>Mujeres víctimas de homicidios dolosos y feminicidios por cada 100 mil mujeres</v>
      </c>
      <c r="E250" t="str">
        <f>TRIM(Indice2026!$G$6)</f>
        <v>Tasa</v>
      </c>
      <c r="F250" t="s">
        <v>142</v>
      </c>
    </row>
    <row r="251" spans="1:6" x14ac:dyDescent="0.3">
      <c r="A251" t="s">
        <v>35</v>
      </c>
      <c r="B251" t="str">
        <f>TRIM(Indice2026!$G$3)</f>
        <v>Homicidios dolosos de mujeres</v>
      </c>
      <c r="C251" s="59">
        <f>Indice2026!G38</f>
        <v>6.0945254481721554</v>
      </c>
      <c r="D251" t="str">
        <f>TRIM(Indice2026!$G$5)</f>
        <v>Mujeres víctimas de homicidios dolosos y feminicidios por cada 100 mil mujeres</v>
      </c>
      <c r="E251" t="str">
        <f>TRIM(Indice2026!$G$6)</f>
        <v>Tasa</v>
      </c>
      <c r="F251" t="s">
        <v>142</v>
      </c>
    </row>
    <row r="252" spans="1:6" x14ac:dyDescent="0.3">
      <c r="A252" t="s">
        <v>36</v>
      </c>
      <c r="B252" t="str">
        <f>TRIM(Indice2026!$G$3)</f>
        <v>Homicidios dolosos de mujeres</v>
      </c>
      <c r="C252" s="59">
        <f>Indice2026!G39</f>
        <v>4.7471434064551659</v>
      </c>
      <c r="D252" t="str">
        <f>TRIM(Indice2026!$G$5)</f>
        <v>Mujeres víctimas de homicidios dolosos y feminicidios por cada 100 mil mujeres</v>
      </c>
      <c r="E252" t="str">
        <f>TRIM(Indice2026!$G$6)</f>
        <v>Tasa</v>
      </c>
      <c r="F252" t="s">
        <v>142</v>
      </c>
    </row>
    <row r="253" spans="1:6" x14ac:dyDescent="0.3">
      <c r="A253" t="s">
        <v>37</v>
      </c>
      <c r="B253" t="str">
        <f>TRIM(Indice2026!$G$3)</f>
        <v>Homicidios dolosos de mujeres</v>
      </c>
      <c r="C253" s="59">
        <f>Indice2026!G40</f>
        <v>2.1669067881261963</v>
      </c>
      <c r="D253" t="str">
        <f>TRIM(Indice2026!$G$5)</f>
        <v>Mujeres víctimas de homicidios dolosos y feminicidios por cada 100 mil mujeres</v>
      </c>
      <c r="E253" t="str">
        <f>TRIM(Indice2026!$G$6)</f>
        <v>Tasa</v>
      </c>
      <c r="F253" t="s">
        <v>142</v>
      </c>
    </row>
    <row r="254" spans="1:6" x14ac:dyDescent="0.3">
      <c r="A254" t="s">
        <v>38</v>
      </c>
      <c r="B254" t="str">
        <f>TRIM(Indice2026!$G$3)</f>
        <v>Homicidios dolosos de mujeres</v>
      </c>
      <c r="C254" s="59">
        <f>Indice2026!G41</f>
        <v>1.6066622929748693</v>
      </c>
      <c r="D254" t="str">
        <f>TRIM(Indice2026!$G$5)</f>
        <v>Mujeres víctimas de homicidios dolosos y feminicidios por cada 100 mil mujeres</v>
      </c>
      <c r="E254" t="str">
        <f>TRIM(Indice2026!$G$6)</f>
        <v>Tasa</v>
      </c>
      <c r="F254" t="s">
        <v>142</v>
      </c>
    </row>
    <row r="255" spans="1:6" x14ac:dyDescent="0.3">
      <c r="A255" t="s">
        <v>39</v>
      </c>
      <c r="B255" t="str">
        <f>TRIM(Indice2026!$G$3)</f>
        <v>Homicidios dolosos de mujeres</v>
      </c>
      <c r="C255" s="59">
        <f>Indice2026!G42</f>
        <v>3.2211756296273317</v>
      </c>
      <c r="D255" t="str">
        <f>TRIM(Indice2026!$G$5)</f>
        <v>Mujeres víctimas de homicidios dolosos y feminicidios por cada 100 mil mujeres</v>
      </c>
      <c r="E255" t="str">
        <f>TRIM(Indice2026!$G$6)</f>
        <v>Tasa</v>
      </c>
      <c r="F255" t="s">
        <v>142</v>
      </c>
    </row>
    <row r="256" spans="1:6" x14ac:dyDescent="0.3">
      <c r="A256" t="s">
        <v>40</v>
      </c>
      <c r="B256" t="str">
        <f>TRIM(Indice2026!$G$3)</f>
        <v>Homicidios dolosos de mujeres</v>
      </c>
      <c r="C256" s="59">
        <f>Indice2026!G43</f>
        <v>1.0187433095992264</v>
      </c>
      <c r="D256" t="str">
        <f>TRIM(Indice2026!$G$5)</f>
        <v>Mujeres víctimas de homicidios dolosos y feminicidios por cada 100 mil mujeres</v>
      </c>
      <c r="E256" t="str">
        <f>TRIM(Indice2026!$G$6)</f>
        <v>Tasa</v>
      </c>
      <c r="F256" t="s">
        <v>142</v>
      </c>
    </row>
    <row r="257" spans="1:6" x14ac:dyDescent="0.3">
      <c r="A257" t="s">
        <v>41</v>
      </c>
      <c r="B257" t="str">
        <f>TRIM(Indice2026!$G$3)</f>
        <v>Homicidios dolosos de mujeres</v>
      </c>
      <c r="C257" s="59">
        <f>Indice2026!G44</f>
        <v>2.7427537018603867</v>
      </c>
      <c r="D257" t="str">
        <f>TRIM(Indice2026!$G$5)</f>
        <v>Mujeres víctimas de homicidios dolosos y feminicidios por cada 100 mil mujeres</v>
      </c>
      <c r="E257" t="str">
        <f>TRIM(Indice2026!$G$6)</f>
        <v>Tasa</v>
      </c>
      <c r="F257" t="s">
        <v>142</v>
      </c>
    </row>
    <row r="258" spans="1:6" x14ac:dyDescent="0.3">
      <c r="A258" t="s">
        <v>7</v>
      </c>
      <c r="B258" t="str">
        <f>TRIM(Indice2026!$J$3)</f>
        <v>Informalidad</v>
      </c>
      <c r="C258" s="59">
        <f>Indice2026!J13</f>
        <v>41.784799999999997</v>
      </c>
      <c r="D258" t="str">
        <f>TRIM(Indice2026!$J$5)</f>
        <v>Porcentaje de mujeres ocupadas no agropecuarias en la informalidad</v>
      </c>
      <c r="E258" t="str">
        <f>TRIM(Indice2026!$J$6)</f>
        <v>Porcentaje</v>
      </c>
      <c r="F258" t="s">
        <v>141</v>
      </c>
    </row>
    <row r="259" spans="1:6" x14ac:dyDescent="0.3">
      <c r="A259" t="s">
        <v>12</v>
      </c>
      <c r="B259" t="str">
        <f>TRIM(Indice2026!$J$3)</f>
        <v>Informalidad</v>
      </c>
      <c r="C259" s="59">
        <f>Indice2026!J14</f>
        <v>36.869199999999999</v>
      </c>
      <c r="D259" t="str">
        <f>TRIM(Indice2026!$J$5)</f>
        <v>Porcentaje de mujeres ocupadas no agropecuarias en la informalidad</v>
      </c>
      <c r="E259" t="str">
        <f>TRIM(Indice2026!$J$6)</f>
        <v>Porcentaje</v>
      </c>
      <c r="F259" t="s">
        <v>141</v>
      </c>
    </row>
    <row r="260" spans="1:6" x14ac:dyDescent="0.3">
      <c r="A260" t="s">
        <v>13</v>
      </c>
      <c r="B260" t="str">
        <f>TRIM(Indice2026!$J$3)</f>
        <v>Informalidad</v>
      </c>
      <c r="C260" s="59">
        <f>Indice2026!J15</f>
        <v>39.127000000000002</v>
      </c>
      <c r="D260" t="str">
        <f>TRIM(Indice2026!$J$5)</f>
        <v>Porcentaje de mujeres ocupadas no agropecuarias en la informalidad</v>
      </c>
      <c r="E260" t="str">
        <f>TRIM(Indice2026!$J$6)</f>
        <v>Porcentaje</v>
      </c>
      <c r="F260" t="s">
        <v>141</v>
      </c>
    </row>
    <row r="261" spans="1:6" x14ac:dyDescent="0.3">
      <c r="A261" t="s">
        <v>14</v>
      </c>
      <c r="B261" t="str">
        <f>TRIM(Indice2026!$J$3)</f>
        <v>Informalidad</v>
      </c>
      <c r="C261" s="59">
        <f>Indice2026!J16</f>
        <v>59.418500000000002</v>
      </c>
      <c r="D261" t="str">
        <f>TRIM(Indice2026!$J$5)</f>
        <v>Porcentaje de mujeres ocupadas no agropecuarias en la informalidad</v>
      </c>
      <c r="E261" t="str">
        <f>TRIM(Indice2026!$J$6)</f>
        <v>Porcentaje</v>
      </c>
      <c r="F261" t="s">
        <v>141</v>
      </c>
    </row>
    <row r="262" spans="1:6" x14ac:dyDescent="0.3">
      <c r="A262" t="s">
        <v>15</v>
      </c>
      <c r="B262" t="str">
        <f>TRIM(Indice2026!$J$3)</f>
        <v>Informalidad</v>
      </c>
      <c r="C262" s="59">
        <f>Indice2026!J19</f>
        <v>71.384100000000004</v>
      </c>
      <c r="D262" t="str">
        <f>TRIM(Indice2026!$J$5)</f>
        <v>Porcentaje de mujeres ocupadas no agropecuarias en la informalidad</v>
      </c>
      <c r="E262" t="str">
        <f>TRIM(Indice2026!$J$6)</f>
        <v>Porcentaje</v>
      </c>
      <c r="F262" t="s">
        <v>141</v>
      </c>
    </row>
    <row r="263" spans="1:6" x14ac:dyDescent="0.3">
      <c r="A263" t="s">
        <v>16</v>
      </c>
      <c r="B263" t="str">
        <f>TRIM(Indice2026!$J$3)</f>
        <v>Informalidad</v>
      </c>
      <c r="C263" s="59">
        <f>Indice2026!J20</f>
        <v>31.085100000000001</v>
      </c>
      <c r="D263" t="str">
        <f>TRIM(Indice2026!$J$5)</f>
        <v>Porcentaje de mujeres ocupadas no agropecuarias en la informalidad</v>
      </c>
      <c r="E263" t="str">
        <f>TRIM(Indice2026!$J$6)</f>
        <v>Porcentaje</v>
      </c>
      <c r="F263" t="s">
        <v>141</v>
      </c>
    </row>
    <row r="264" spans="1:6" x14ac:dyDescent="0.3">
      <c r="A264" t="s">
        <v>17</v>
      </c>
      <c r="B264" t="str">
        <f>TRIM(Indice2026!$J$3)</f>
        <v>Informalidad</v>
      </c>
      <c r="C264" s="59">
        <f>Indice2026!J21</f>
        <v>47.038699999999999</v>
      </c>
      <c r="D264" t="str">
        <f>TRIM(Indice2026!$J$5)</f>
        <v>Porcentaje de mujeres ocupadas no agropecuarias en la informalidad</v>
      </c>
      <c r="E264" t="str">
        <f>TRIM(Indice2026!$J$6)</f>
        <v>Porcentaje</v>
      </c>
      <c r="F264" t="s">
        <v>141</v>
      </c>
    </row>
    <row r="265" spans="1:6" x14ac:dyDescent="0.3">
      <c r="A265" t="s">
        <v>18</v>
      </c>
      <c r="B265" t="str">
        <f>TRIM(Indice2026!$J$3)</f>
        <v>Informalidad</v>
      </c>
      <c r="C265" s="59">
        <f>Indice2026!J17</f>
        <v>36.782299999999999</v>
      </c>
      <c r="D265" t="str">
        <f>TRIM(Indice2026!$J$5)</f>
        <v>Porcentaje de mujeres ocupadas no agropecuarias en la informalidad</v>
      </c>
      <c r="E265" t="str">
        <f>TRIM(Indice2026!$J$6)</f>
        <v>Porcentaje</v>
      </c>
      <c r="F265" t="s">
        <v>141</v>
      </c>
    </row>
    <row r="266" spans="1:6" x14ac:dyDescent="0.3">
      <c r="A266" t="s">
        <v>19</v>
      </c>
      <c r="B266" t="str">
        <f>TRIM(Indice2026!$J$3)</f>
        <v>Informalidad</v>
      </c>
      <c r="C266" s="59">
        <f>Indice2026!J18</f>
        <v>49.939300000000003</v>
      </c>
      <c r="D266" t="str">
        <f>TRIM(Indice2026!$J$5)</f>
        <v>Porcentaje de mujeres ocupadas no agropecuarias en la informalidad</v>
      </c>
      <c r="E266" t="str">
        <f>TRIM(Indice2026!$J$6)</f>
        <v>Porcentaje</v>
      </c>
      <c r="F266" t="s">
        <v>141</v>
      </c>
    </row>
    <row r="267" spans="1:6" x14ac:dyDescent="0.3">
      <c r="A267" t="s">
        <v>20</v>
      </c>
      <c r="B267" t="str">
        <f>TRIM(Indice2026!$J$3)</f>
        <v>Informalidad</v>
      </c>
      <c r="C267" s="59">
        <f>Indice2026!J22</f>
        <v>51.979500000000002</v>
      </c>
      <c r="D267" t="str">
        <f>TRIM(Indice2026!$J$5)</f>
        <v>Porcentaje de mujeres ocupadas no agropecuarias en la informalidad</v>
      </c>
      <c r="E267" t="str">
        <f>TRIM(Indice2026!$J$6)</f>
        <v>Porcentaje</v>
      </c>
      <c r="F267" t="s">
        <v>141</v>
      </c>
    </row>
    <row r="268" spans="1:6" x14ac:dyDescent="0.3">
      <c r="A268" t="s">
        <v>21</v>
      </c>
      <c r="B268" t="str">
        <f>TRIM(Indice2026!$J$3)</f>
        <v>Informalidad</v>
      </c>
      <c r="C268" s="59">
        <f>Indice2026!J23</f>
        <v>52.861800000000002</v>
      </c>
      <c r="D268" t="str">
        <f>TRIM(Indice2026!$J$5)</f>
        <v>Porcentaje de mujeres ocupadas no agropecuarias en la informalidad</v>
      </c>
      <c r="E268" t="str">
        <f>TRIM(Indice2026!$J$6)</f>
        <v>Porcentaje</v>
      </c>
      <c r="F268" t="s">
        <v>141</v>
      </c>
    </row>
    <row r="269" spans="1:6" x14ac:dyDescent="0.3">
      <c r="A269" t="s">
        <v>22</v>
      </c>
      <c r="B269" t="str">
        <f>TRIM(Indice2026!$J$3)</f>
        <v>Informalidad</v>
      </c>
      <c r="C269" s="59">
        <f>Indice2026!J24</f>
        <v>74.580399999999997</v>
      </c>
      <c r="D269" t="str">
        <f>TRIM(Indice2026!$J$5)</f>
        <v>Porcentaje de mujeres ocupadas no agropecuarias en la informalidad</v>
      </c>
      <c r="E269" t="str">
        <f>TRIM(Indice2026!$J$6)</f>
        <v>Porcentaje</v>
      </c>
      <c r="F269" t="s">
        <v>141</v>
      </c>
    </row>
    <row r="270" spans="1:6" x14ac:dyDescent="0.3">
      <c r="A270" t="s">
        <v>23</v>
      </c>
      <c r="B270" t="str">
        <f>TRIM(Indice2026!$J$3)</f>
        <v>Informalidad</v>
      </c>
      <c r="C270" s="59">
        <f>Indice2026!J25</f>
        <v>73.478899999999996</v>
      </c>
      <c r="D270" t="str">
        <f>TRIM(Indice2026!$J$5)</f>
        <v>Porcentaje de mujeres ocupadas no agropecuarias en la informalidad</v>
      </c>
      <c r="E270" t="str">
        <f>TRIM(Indice2026!$J$6)</f>
        <v>Porcentaje</v>
      </c>
      <c r="F270" t="s">
        <v>141</v>
      </c>
    </row>
    <row r="271" spans="1:6" x14ac:dyDescent="0.3">
      <c r="A271" t="s">
        <v>24</v>
      </c>
      <c r="B271" t="str">
        <f>TRIM(Indice2026!$J$3)</f>
        <v>Informalidad</v>
      </c>
      <c r="C271" s="59">
        <f>Indice2026!J26</f>
        <v>48.322499999999998</v>
      </c>
      <c r="D271" t="str">
        <f>TRIM(Indice2026!$J$5)</f>
        <v>Porcentaje de mujeres ocupadas no agropecuarias en la informalidad</v>
      </c>
      <c r="E271" t="str">
        <f>TRIM(Indice2026!$J$6)</f>
        <v>Porcentaje</v>
      </c>
      <c r="F271" t="s">
        <v>141</v>
      </c>
    </row>
    <row r="272" spans="1:6" x14ac:dyDescent="0.3">
      <c r="A272" t="s">
        <v>25</v>
      </c>
      <c r="B272" t="str">
        <f>TRIM(Indice2026!$J$3)</f>
        <v>Informalidad</v>
      </c>
      <c r="C272" s="59">
        <f>Indice2026!J28</f>
        <v>66.137</v>
      </c>
      <c r="D272" t="str">
        <f>TRIM(Indice2026!$J$5)</f>
        <v>Porcentaje de mujeres ocupadas no agropecuarias en la informalidad</v>
      </c>
      <c r="E272" t="str">
        <f>TRIM(Indice2026!$J$6)</f>
        <v>Porcentaje</v>
      </c>
      <c r="F272" t="s">
        <v>141</v>
      </c>
    </row>
    <row r="273" spans="1:6" x14ac:dyDescent="0.3">
      <c r="A273" t="s">
        <v>26</v>
      </c>
      <c r="B273" t="str">
        <f>TRIM(Indice2026!$J$3)</f>
        <v>Informalidad</v>
      </c>
      <c r="C273" s="59">
        <f>Indice2026!J29</f>
        <v>63.563000000000002</v>
      </c>
      <c r="D273" t="str">
        <f>TRIM(Indice2026!$J$5)</f>
        <v>Porcentaje de mujeres ocupadas no agropecuarias en la informalidad</v>
      </c>
      <c r="E273" t="str">
        <f>TRIM(Indice2026!$J$6)</f>
        <v>Porcentaje</v>
      </c>
      <c r="F273" t="s">
        <v>141</v>
      </c>
    </row>
    <row r="274" spans="1:6" x14ac:dyDescent="0.3">
      <c r="A274" t="s">
        <v>0</v>
      </c>
      <c r="B274" t="str">
        <f>TRIM(Indice2026!$J$3)</f>
        <v>Informalidad</v>
      </c>
      <c r="C274" s="59">
        <f>Indice2026!J27</f>
        <v>58.127099999999999</v>
      </c>
      <c r="D274" t="str">
        <f>TRIM(Indice2026!$J$5)</f>
        <v>Porcentaje de mujeres ocupadas no agropecuarias en la informalidad</v>
      </c>
      <c r="E274" t="str">
        <f>TRIM(Indice2026!$J$6)</f>
        <v>Porcentaje</v>
      </c>
      <c r="F274" t="s">
        <v>141</v>
      </c>
    </row>
    <row r="275" spans="1:6" x14ac:dyDescent="0.3">
      <c r="A275" t="s">
        <v>27</v>
      </c>
      <c r="B275" t="str">
        <f>TRIM(Indice2026!$J$3)</f>
        <v>Informalidad</v>
      </c>
      <c r="C275" s="59">
        <f>Indice2026!J30</f>
        <v>55.472299999999997</v>
      </c>
      <c r="D275" t="str">
        <f>TRIM(Indice2026!$J$5)</f>
        <v>Porcentaje de mujeres ocupadas no agropecuarias en la informalidad</v>
      </c>
      <c r="E275" t="str">
        <f>TRIM(Indice2026!$J$6)</f>
        <v>Porcentaje</v>
      </c>
      <c r="F275" t="s">
        <v>141</v>
      </c>
    </row>
    <row r="276" spans="1:6" x14ac:dyDescent="0.3">
      <c r="A276" t="s">
        <v>28</v>
      </c>
      <c r="B276" t="str">
        <f>TRIM(Indice2026!$J$3)</f>
        <v>Informalidad</v>
      </c>
      <c r="C276" s="59">
        <f>Indice2026!J31</f>
        <v>37.886600000000001</v>
      </c>
      <c r="D276" t="str">
        <f>TRIM(Indice2026!$J$5)</f>
        <v>Porcentaje de mujeres ocupadas no agropecuarias en la informalidad</v>
      </c>
      <c r="E276" t="str">
        <f>TRIM(Indice2026!$J$6)</f>
        <v>Porcentaje</v>
      </c>
      <c r="F276" t="s">
        <v>141</v>
      </c>
    </row>
    <row r="277" spans="1:6" x14ac:dyDescent="0.3">
      <c r="A277" t="s">
        <v>29</v>
      </c>
      <c r="B277" t="str">
        <f>TRIM(Indice2026!$J$3)</f>
        <v>Informalidad</v>
      </c>
      <c r="C277" s="59">
        <f>Indice2026!J32</f>
        <v>76.8583</v>
      </c>
      <c r="D277" t="str">
        <f>TRIM(Indice2026!$J$5)</f>
        <v>Porcentaje de mujeres ocupadas no agropecuarias en la informalidad</v>
      </c>
      <c r="E277" t="str">
        <f>TRIM(Indice2026!$J$6)</f>
        <v>Porcentaje</v>
      </c>
      <c r="F277" t="s">
        <v>141</v>
      </c>
    </row>
    <row r="278" spans="1:6" x14ac:dyDescent="0.3">
      <c r="A278" t="s">
        <v>30</v>
      </c>
      <c r="B278" t="str">
        <f>TRIM(Indice2026!$J$3)</f>
        <v>Informalidad</v>
      </c>
      <c r="C278" s="59">
        <f>Indice2026!J33</f>
        <v>69.671800000000005</v>
      </c>
      <c r="D278" t="str">
        <f>TRIM(Indice2026!$J$5)</f>
        <v>Porcentaje de mujeres ocupadas no agropecuarias en la informalidad</v>
      </c>
      <c r="E278" t="str">
        <f>TRIM(Indice2026!$J$6)</f>
        <v>Porcentaje</v>
      </c>
      <c r="F278" t="s">
        <v>141</v>
      </c>
    </row>
    <row r="279" spans="1:6" x14ac:dyDescent="0.3">
      <c r="A279" t="s">
        <v>31</v>
      </c>
      <c r="B279" t="str">
        <f>TRIM(Indice2026!$J$3)</f>
        <v>Informalidad</v>
      </c>
      <c r="C279" s="59">
        <f>Indice2026!J34</f>
        <v>43.6248</v>
      </c>
      <c r="D279" t="str">
        <f>TRIM(Indice2026!$J$5)</f>
        <v>Porcentaje de mujeres ocupadas no agropecuarias en la informalidad</v>
      </c>
      <c r="E279" t="str">
        <f>TRIM(Indice2026!$J$6)</f>
        <v>Porcentaje</v>
      </c>
      <c r="F279" t="s">
        <v>141</v>
      </c>
    </row>
    <row r="280" spans="1:6" x14ac:dyDescent="0.3">
      <c r="A280" t="s">
        <v>32</v>
      </c>
      <c r="B280" t="str">
        <f>TRIM(Indice2026!$J$3)</f>
        <v>Informalidad</v>
      </c>
      <c r="C280" s="59">
        <f>Indice2026!J35</f>
        <v>45.5199</v>
      </c>
      <c r="D280" t="str">
        <f>TRIM(Indice2026!$J$5)</f>
        <v>Porcentaje de mujeres ocupadas no agropecuarias en la informalidad</v>
      </c>
      <c r="E280" t="str">
        <f>TRIM(Indice2026!$J$6)</f>
        <v>Porcentaje</v>
      </c>
      <c r="F280" t="s">
        <v>141</v>
      </c>
    </row>
    <row r="281" spans="1:6" x14ac:dyDescent="0.3">
      <c r="A281" t="s">
        <v>33</v>
      </c>
      <c r="B281" t="str">
        <f>TRIM(Indice2026!$J$3)</f>
        <v>Informalidad</v>
      </c>
      <c r="C281" s="59">
        <f>Indice2026!J36</f>
        <v>53.423299999999998</v>
      </c>
      <c r="D281" t="str">
        <f>TRIM(Indice2026!$J$5)</f>
        <v>Porcentaje de mujeres ocupadas no agropecuarias en la informalidad</v>
      </c>
      <c r="E281" t="str">
        <f>TRIM(Indice2026!$J$6)</f>
        <v>Porcentaje</v>
      </c>
      <c r="F281" t="s">
        <v>141</v>
      </c>
    </row>
    <row r="282" spans="1:6" x14ac:dyDescent="0.3">
      <c r="A282" t="s">
        <v>34</v>
      </c>
      <c r="B282" t="str">
        <f>TRIM(Indice2026!$J$3)</f>
        <v>Informalidad</v>
      </c>
      <c r="C282" s="59">
        <f>Indice2026!J37</f>
        <v>48.189</v>
      </c>
      <c r="D282" t="str">
        <f>TRIM(Indice2026!$J$5)</f>
        <v>Porcentaje de mujeres ocupadas no agropecuarias en la informalidad</v>
      </c>
      <c r="E282" t="str">
        <f>TRIM(Indice2026!$J$6)</f>
        <v>Porcentaje</v>
      </c>
      <c r="F282" t="s">
        <v>141</v>
      </c>
    </row>
    <row r="283" spans="1:6" x14ac:dyDescent="0.3">
      <c r="A283" t="s">
        <v>35</v>
      </c>
      <c r="B283" t="str">
        <f>TRIM(Indice2026!$J$3)</f>
        <v>Informalidad</v>
      </c>
      <c r="C283" s="59">
        <f>Indice2026!J38</f>
        <v>44.273299999999999</v>
      </c>
      <c r="D283" t="str">
        <f>TRIM(Indice2026!$J$5)</f>
        <v>Porcentaje de mujeres ocupadas no agropecuarias en la informalidad</v>
      </c>
      <c r="E283" t="str">
        <f>TRIM(Indice2026!$J$6)</f>
        <v>Porcentaje</v>
      </c>
      <c r="F283" t="s">
        <v>141</v>
      </c>
    </row>
    <row r="284" spans="1:6" x14ac:dyDescent="0.3">
      <c r="A284" t="s">
        <v>36</v>
      </c>
      <c r="B284" t="str">
        <f>TRIM(Indice2026!$J$3)</f>
        <v>Informalidad</v>
      </c>
      <c r="C284" s="59">
        <f>Indice2026!J39</f>
        <v>68.438299999999998</v>
      </c>
      <c r="D284" t="str">
        <f>TRIM(Indice2026!$J$5)</f>
        <v>Porcentaje de mujeres ocupadas no agropecuarias en la informalidad</v>
      </c>
      <c r="E284" t="str">
        <f>TRIM(Indice2026!$J$6)</f>
        <v>Porcentaje</v>
      </c>
      <c r="F284" t="s">
        <v>141</v>
      </c>
    </row>
    <row r="285" spans="1:6" x14ac:dyDescent="0.3">
      <c r="A285" t="s">
        <v>37</v>
      </c>
      <c r="B285" t="str">
        <f>TRIM(Indice2026!$J$3)</f>
        <v>Informalidad</v>
      </c>
      <c r="C285" s="59">
        <f>Indice2026!J40</f>
        <v>45.654499999999999</v>
      </c>
      <c r="D285" t="str">
        <f>TRIM(Indice2026!$J$5)</f>
        <v>Porcentaje de mujeres ocupadas no agropecuarias en la informalidad</v>
      </c>
      <c r="E285" t="str">
        <f>TRIM(Indice2026!$J$6)</f>
        <v>Porcentaje</v>
      </c>
      <c r="F285" t="s">
        <v>141</v>
      </c>
    </row>
    <row r="286" spans="1:6" x14ac:dyDescent="0.3">
      <c r="A286" t="s">
        <v>38</v>
      </c>
      <c r="B286" t="str">
        <f>TRIM(Indice2026!$J$3)</f>
        <v>Informalidad</v>
      </c>
      <c r="C286" s="59">
        <f>Indice2026!J41</f>
        <v>71.778599999999997</v>
      </c>
      <c r="D286" t="str">
        <f>TRIM(Indice2026!$J$5)</f>
        <v>Porcentaje de mujeres ocupadas no agropecuarias en la informalidad</v>
      </c>
      <c r="E286" t="str">
        <f>TRIM(Indice2026!$J$6)</f>
        <v>Porcentaje</v>
      </c>
      <c r="F286" t="s">
        <v>141</v>
      </c>
    </row>
    <row r="287" spans="1:6" x14ac:dyDescent="0.3">
      <c r="A287" t="s">
        <v>39</v>
      </c>
      <c r="B287" t="str">
        <f>TRIM(Indice2026!$J$3)</f>
        <v>Informalidad</v>
      </c>
      <c r="C287" s="59">
        <f>Indice2026!J42</f>
        <v>69.741600000000005</v>
      </c>
      <c r="D287" t="str">
        <f>TRIM(Indice2026!$J$5)</f>
        <v>Porcentaje de mujeres ocupadas no agropecuarias en la informalidad</v>
      </c>
      <c r="E287" t="str">
        <f>TRIM(Indice2026!$J$6)</f>
        <v>Porcentaje</v>
      </c>
      <c r="F287" t="s">
        <v>141</v>
      </c>
    </row>
    <row r="288" spans="1:6" x14ac:dyDescent="0.3">
      <c r="A288" t="s">
        <v>40</v>
      </c>
      <c r="B288" t="str">
        <f>TRIM(Indice2026!$J$3)</f>
        <v>Informalidad</v>
      </c>
      <c r="C288" s="59">
        <f>Indice2026!J43</f>
        <v>62.654400000000003</v>
      </c>
      <c r="D288" t="str">
        <f>TRIM(Indice2026!$J$5)</f>
        <v>Porcentaje de mujeres ocupadas no agropecuarias en la informalidad</v>
      </c>
      <c r="E288" t="str">
        <f>TRIM(Indice2026!$J$6)</f>
        <v>Porcentaje</v>
      </c>
      <c r="F288" t="s">
        <v>141</v>
      </c>
    </row>
    <row r="289" spans="1:6" x14ac:dyDescent="0.3">
      <c r="A289" t="s">
        <v>41</v>
      </c>
      <c r="B289" t="str">
        <f>TRIM(Indice2026!$J$3)</f>
        <v>Informalidad</v>
      </c>
      <c r="C289" s="59">
        <f>Indice2026!J44</f>
        <v>53.566000000000003</v>
      </c>
      <c r="D289" t="str">
        <f>TRIM(Indice2026!$J$5)</f>
        <v>Porcentaje de mujeres ocupadas no agropecuarias en la informalidad</v>
      </c>
      <c r="E289" t="str">
        <f>TRIM(Indice2026!$J$6)</f>
        <v>Porcentaje</v>
      </c>
      <c r="F289" t="s">
        <v>141</v>
      </c>
    </row>
    <row r="290" spans="1:6" x14ac:dyDescent="0.3">
      <c r="A290" t="s">
        <v>7</v>
      </c>
      <c r="B290" t="str">
        <f>TRIM(Indice2026!$F$3)</f>
        <v>Inseguridad en el transporte público</v>
      </c>
      <c r="C290" s="59">
        <f>Indice2026!F13</f>
        <v>24.6</v>
      </c>
      <c r="D290" t="str">
        <f>TRIM(Indice2026!$F$5)</f>
        <v>Porcentaje de mujeres que dejaron de usar transporte público por temor a ser víctima de algún delito</v>
      </c>
      <c r="E290" t="str">
        <f>TRIM(Indice2026!$F$6)</f>
        <v>Porcentaje</v>
      </c>
      <c r="F290" t="s">
        <v>66</v>
      </c>
    </row>
    <row r="291" spans="1:6" x14ac:dyDescent="0.3">
      <c r="A291" t="s">
        <v>12</v>
      </c>
      <c r="B291" t="str">
        <f>TRIM(Indice2026!$F$3)</f>
        <v>Inseguridad en el transporte público</v>
      </c>
      <c r="C291" s="59">
        <f>Indice2026!F14</f>
        <v>28</v>
      </c>
      <c r="D291" t="str">
        <f>TRIM(Indice2026!$F$5)</f>
        <v>Porcentaje de mujeres que dejaron de usar transporte público por temor a ser víctima de algún delito</v>
      </c>
      <c r="E291" t="str">
        <f>TRIM(Indice2026!$F$6)</f>
        <v>Porcentaje</v>
      </c>
      <c r="F291" t="s">
        <v>66</v>
      </c>
    </row>
    <row r="292" spans="1:6" x14ac:dyDescent="0.3">
      <c r="A292" t="s">
        <v>13</v>
      </c>
      <c r="B292" t="str">
        <f>TRIM(Indice2026!$F$3)</f>
        <v>Inseguridad en el transporte público</v>
      </c>
      <c r="C292" s="59">
        <f>Indice2026!F15</f>
        <v>19.899999999999999</v>
      </c>
      <c r="D292" t="str">
        <f>TRIM(Indice2026!$F$5)</f>
        <v>Porcentaje de mujeres que dejaron de usar transporte público por temor a ser víctima de algún delito</v>
      </c>
      <c r="E292" t="str">
        <f>TRIM(Indice2026!$F$6)</f>
        <v>Porcentaje</v>
      </c>
      <c r="F292" t="s">
        <v>66</v>
      </c>
    </row>
    <row r="293" spans="1:6" x14ac:dyDescent="0.3">
      <c r="A293" t="s">
        <v>14</v>
      </c>
      <c r="B293" t="str">
        <f>TRIM(Indice2026!$F$3)</f>
        <v>Inseguridad en el transporte público</v>
      </c>
      <c r="C293" s="59">
        <f>Indice2026!F16</f>
        <v>19.2</v>
      </c>
      <c r="D293" t="str">
        <f>TRIM(Indice2026!$F$5)</f>
        <v>Porcentaje de mujeres que dejaron de usar transporte público por temor a ser víctima de algún delito</v>
      </c>
      <c r="E293" t="str">
        <f>TRIM(Indice2026!$F$6)</f>
        <v>Porcentaje</v>
      </c>
      <c r="F293" t="s">
        <v>66</v>
      </c>
    </row>
    <row r="294" spans="1:6" x14ac:dyDescent="0.3">
      <c r="A294" t="s">
        <v>15</v>
      </c>
      <c r="B294" t="str">
        <f>TRIM(Indice2026!$F$3)</f>
        <v>Inseguridad en el transporte público</v>
      </c>
      <c r="C294" s="59">
        <f>Indice2026!F19</f>
        <v>21.5</v>
      </c>
      <c r="D294" t="str">
        <f>TRIM(Indice2026!$F$5)</f>
        <v>Porcentaje de mujeres que dejaron de usar transporte público por temor a ser víctima de algún delito</v>
      </c>
      <c r="E294" t="str">
        <f>TRIM(Indice2026!$F$6)</f>
        <v>Porcentaje</v>
      </c>
      <c r="F294" t="s">
        <v>66</v>
      </c>
    </row>
    <row r="295" spans="1:6" x14ac:dyDescent="0.3">
      <c r="A295" t="s">
        <v>16</v>
      </c>
      <c r="B295" t="str">
        <f>TRIM(Indice2026!$F$3)</f>
        <v>Inseguridad en el transporte público</v>
      </c>
      <c r="C295" s="59">
        <f>Indice2026!F20</f>
        <v>32.6</v>
      </c>
      <c r="D295" t="str">
        <f>TRIM(Indice2026!$F$5)</f>
        <v>Porcentaje de mujeres que dejaron de usar transporte público por temor a ser víctima de algún delito</v>
      </c>
      <c r="E295" t="str">
        <f>TRIM(Indice2026!$F$6)</f>
        <v>Porcentaje</v>
      </c>
      <c r="F295" t="s">
        <v>66</v>
      </c>
    </row>
    <row r="296" spans="1:6" x14ac:dyDescent="0.3">
      <c r="A296" t="s">
        <v>17</v>
      </c>
      <c r="B296" t="str">
        <f>TRIM(Indice2026!$F$3)</f>
        <v>Inseguridad en el transporte público</v>
      </c>
      <c r="C296" s="59">
        <f>Indice2026!F21</f>
        <v>25.2</v>
      </c>
      <c r="D296" t="str">
        <f>TRIM(Indice2026!$F$5)</f>
        <v>Porcentaje de mujeres que dejaron de usar transporte público por temor a ser víctima de algún delito</v>
      </c>
      <c r="E296" t="str">
        <f>TRIM(Indice2026!$F$6)</f>
        <v>Porcentaje</v>
      </c>
      <c r="F296" t="s">
        <v>66</v>
      </c>
    </row>
    <row r="297" spans="1:6" x14ac:dyDescent="0.3">
      <c r="A297" t="s">
        <v>18</v>
      </c>
      <c r="B297" t="str">
        <f>TRIM(Indice2026!$F$3)</f>
        <v>Inseguridad en el transporte público</v>
      </c>
      <c r="C297" s="59">
        <f>Indice2026!F17</f>
        <v>20.399999999999999</v>
      </c>
      <c r="D297" t="str">
        <f>TRIM(Indice2026!$F$5)</f>
        <v>Porcentaje de mujeres que dejaron de usar transporte público por temor a ser víctima de algún delito</v>
      </c>
      <c r="E297" t="str">
        <f>TRIM(Indice2026!$F$6)</f>
        <v>Porcentaje</v>
      </c>
      <c r="F297" t="s">
        <v>66</v>
      </c>
    </row>
    <row r="298" spans="1:6" x14ac:dyDescent="0.3">
      <c r="A298" t="s">
        <v>19</v>
      </c>
      <c r="B298" t="str">
        <f>TRIM(Indice2026!$F$3)</f>
        <v>Inseguridad en el transporte público</v>
      </c>
      <c r="C298" s="59">
        <f>Indice2026!F18</f>
        <v>37.9</v>
      </c>
      <c r="D298" t="str">
        <f>TRIM(Indice2026!$F$5)</f>
        <v>Porcentaje de mujeres que dejaron de usar transporte público por temor a ser víctima de algún delito</v>
      </c>
      <c r="E298" t="str">
        <f>TRIM(Indice2026!$F$6)</f>
        <v>Porcentaje</v>
      </c>
      <c r="F298" t="s">
        <v>66</v>
      </c>
    </row>
    <row r="299" spans="1:6" x14ac:dyDescent="0.3">
      <c r="A299" t="s">
        <v>20</v>
      </c>
      <c r="B299" t="str">
        <f>TRIM(Indice2026!$F$3)</f>
        <v>Inseguridad en el transporte público</v>
      </c>
      <c r="C299" s="59">
        <f>Indice2026!F22</f>
        <v>22.1</v>
      </c>
      <c r="D299" t="str">
        <f>TRIM(Indice2026!$F$5)</f>
        <v>Porcentaje de mujeres que dejaron de usar transporte público por temor a ser víctima de algún delito</v>
      </c>
      <c r="E299" t="str">
        <f>TRIM(Indice2026!$F$6)</f>
        <v>Porcentaje</v>
      </c>
      <c r="F299" t="s">
        <v>66</v>
      </c>
    </row>
    <row r="300" spans="1:6" x14ac:dyDescent="0.3">
      <c r="A300" t="s">
        <v>21</v>
      </c>
      <c r="B300" t="str">
        <f>TRIM(Indice2026!$F$3)</f>
        <v>Inseguridad en el transporte público</v>
      </c>
      <c r="C300" s="59">
        <f>Indice2026!F23</f>
        <v>27.8</v>
      </c>
      <c r="D300" t="str">
        <f>TRIM(Indice2026!$F$5)</f>
        <v>Porcentaje de mujeres que dejaron de usar transporte público por temor a ser víctima de algún delito</v>
      </c>
      <c r="E300" t="str">
        <f>TRIM(Indice2026!$F$6)</f>
        <v>Porcentaje</v>
      </c>
      <c r="F300" t="s">
        <v>66</v>
      </c>
    </row>
    <row r="301" spans="1:6" x14ac:dyDescent="0.3">
      <c r="A301" t="s">
        <v>22</v>
      </c>
      <c r="B301" t="str">
        <f>TRIM(Indice2026!$F$3)</f>
        <v>Inseguridad en el transporte público</v>
      </c>
      <c r="C301" s="59">
        <f>Indice2026!F24</f>
        <v>17.5</v>
      </c>
      <c r="D301" t="str">
        <f>TRIM(Indice2026!$F$5)</f>
        <v>Porcentaje de mujeres que dejaron de usar transporte público por temor a ser víctima de algún delito</v>
      </c>
      <c r="E301" t="str">
        <f>TRIM(Indice2026!$F$6)</f>
        <v>Porcentaje</v>
      </c>
      <c r="F301" t="s">
        <v>66</v>
      </c>
    </row>
    <row r="302" spans="1:6" x14ac:dyDescent="0.3">
      <c r="A302" t="s">
        <v>23</v>
      </c>
      <c r="B302" t="str">
        <f>TRIM(Indice2026!$F$3)</f>
        <v>Inseguridad en el transporte público</v>
      </c>
      <c r="C302" s="59">
        <f>Indice2026!F25</f>
        <v>22.1</v>
      </c>
      <c r="D302" t="str">
        <f>TRIM(Indice2026!$F$5)</f>
        <v>Porcentaje de mujeres que dejaron de usar transporte público por temor a ser víctima de algún delito</v>
      </c>
      <c r="E302" t="str">
        <f>TRIM(Indice2026!$F$6)</f>
        <v>Porcentaje</v>
      </c>
      <c r="F302" t="s">
        <v>66</v>
      </c>
    </row>
    <row r="303" spans="1:6" x14ac:dyDescent="0.3">
      <c r="A303" t="s">
        <v>24</v>
      </c>
      <c r="B303" t="str">
        <f>TRIM(Indice2026!$F$3)</f>
        <v>Inseguridad en el transporte público</v>
      </c>
      <c r="C303" s="59">
        <f>Indice2026!F26</f>
        <v>24.7</v>
      </c>
      <c r="D303" t="str">
        <f>TRIM(Indice2026!$F$5)</f>
        <v>Porcentaje de mujeres que dejaron de usar transporte público por temor a ser víctima de algún delito</v>
      </c>
      <c r="E303" t="str">
        <f>TRIM(Indice2026!$F$6)</f>
        <v>Porcentaje</v>
      </c>
      <c r="F303" t="s">
        <v>66</v>
      </c>
    </row>
    <row r="304" spans="1:6" x14ac:dyDescent="0.3">
      <c r="A304" t="s">
        <v>25</v>
      </c>
      <c r="B304" t="str">
        <f>TRIM(Indice2026!$F$3)</f>
        <v>Inseguridad en el transporte público</v>
      </c>
      <c r="C304" s="59">
        <f>Indice2026!F28</f>
        <v>18.5</v>
      </c>
      <c r="D304" t="str">
        <f>TRIM(Indice2026!$F$5)</f>
        <v>Porcentaje de mujeres que dejaron de usar transporte público por temor a ser víctima de algún delito</v>
      </c>
      <c r="E304" t="str">
        <f>TRIM(Indice2026!$F$6)</f>
        <v>Porcentaje</v>
      </c>
      <c r="F304" t="s">
        <v>66</v>
      </c>
    </row>
    <row r="305" spans="1:6" x14ac:dyDescent="0.3">
      <c r="A305" t="s">
        <v>26</v>
      </c>
      <c r="B305" t="str">
        <f>TRIM(Indice2026!$F$3)</f>
        <v>Inseguridad en el transporte público</v>
      </c>
      <c r="C305" s="59">
        <f>Indice2026!F29</f>
        <v>24</v>
      </c>
      <c r="D305" t="str">
        <f>TRIM(Indice2026!$F$5)</f>
        <v>Porcentaje de mujeres que dejaron de usar transporte público por temor a ser víctima de algún delito</v>
      </c>
      <c r="E305" t="str">
        <f>TRIM(Indice2026!$F$6)</f>
        <v>Porcentaje</v>
      </c>
      <c r="F305" t="s">
        <v>66</v>
      </c>
    </row>
    <row r="306" spans="1:6" x14ac:dyDescent="0.3">
      <c r="A306" t="s">
        <v>0</v>
      </c>
      <c r="B306" t="str">
        <f>TRIM(Indice2026!$F$3)</f>
        <v>Inseguridad en el transporte público</v>
      </c>
      <c r="C306" s="59">
        <f>Indice2026!F27</f>
        <v>36.6</v>
      </c>
      <c r="D306" t="str">
        <f>TRIM(Indice2026!$F$5)</f>
        <v>Porcentaje de mujeres que dejaron de usar transporte público por temor a ser víctima de algún delito</v>
      </c>
      <c r="E306" t="str">
        <f>TRIM(Indice2026!$F$6)</f>
        <v>Porcentaje</v>
      </c>
      <c r="F306" t="s">
        <v>66</v>
      </c>
    </row>
    <row r="307" spans="1:6" x14ac:dyDescent="0.3">
      <c r="A307" t="s">
        <v>27</v>
      </c>
      <c r="B307" t="str">
        <f>TRIM(Indice2026!$F$3)</f>
        <v>Inseguridad en el transporte público</v>
      </c>
      <c r="C307" s="59">
        <f>Indice2026!F30</f>
        <v>13.8</v>
      </c>
      <c r="D307" t="str">
        <f>TRIM(Indice2026!$F$5)</f>
        <v>Porcentaje de mujeres que dejaron de usar transporte público por temor a ser víctima de algún delito</v>
      </c>
      <c r="E307" t="str">
        <f>TRIM(Indice2026!$F$6)</f>
        <v>Porcentaje</v>
      </c>
      <c r="F307" t="s">
        <v>66</v>
      </c>
    </row>
    <row r="308" spans="1:6" x14ac:dyDescent="0.3">
      <c r="A308" t="s">
        <v>28</v>
      </c>
      <c r="B308" t="str">
        <f>TRIM(Indice2026!$F$3)</f>
        <v>Inseguridad en el transporte público</v>
      </c>
      <c r="C308" s="59">
        <f>Indice2026!F31</f>
        <v>32</v>
      </c>
      <c r="D308" t="str">
        <f>TRIM(Indice2026!$F$5)</f>
        <v>Porcentaje de mujeres que dejaron de usar transporte público por temor a ser víctima de algún delito</v>
      </c>
      <c r="E308" t="str">
        <f>TRIM(Indice2026!$F$6)</f>
        <v>Porcentaje</v>
      </c>
      <c r="F308" t="s">
        <v>66</v>
      </c>
    </row>
    <row r="309" spans="1:6" x14ac:dyDescent="0.3">
      <c r="A309" t="s">
        <v>29</v>
      </c>
      <c r="B309" t="str">
        <f>TRIM(Indice2026!$F$3)</f>
        <v>Inseguridad en el transporte público</v>
      </c>
      <c r="C309" s="59">
        <f>Indice2026!F32</f>
        <v>15.1</v>
      </c>
      <c r="D309" t="str">
        <f>TRIM(Indice2026!$F$5)</f>
        <v>Porcentaje de mujeres que dejaron de usar transporte público por temor a ser víctima de algún delito</v>
      </c>
      <c r="E309" t="str">
        <f>TRIM(Indice2026!$F$6)</f>
        <v>Porcentaje</v>
      </c>
      <c r="F309" t="s">
        <v>66</v>
      </c>
    </row>
    <row r="310" spans="1:6" x14ac:dyDescent="0.3">
      <c r="A310" t="s">
        <v>30</v>
      </c>
      <c r="B310" t="str">
        <f>TRIM(Indice2026!$F$3)</f>
        <v>Inseguridad en el transporte público</v>
      </c>
      <c r="C310" s="59">
        <f>Indice2026!F33</f>
        <v>20.9</v>
      </c>
      <c r="D310" t="str">
        <f>TRIM(Indice2026!$F$5)</f>
        <v>Porcentaje de mujeres que dejaron de usar transporte público por temor a ser víctima de algún delito</v>
      </c>
      <c r="E310" t="str">
        <f>TRIM(Indice2026!$F$6)</f>
        <v>Porcentaje</v>
      </c>
      <c r="F310" t="s">
        <v>66</v>
      </c>
    </row>
    <row r="311" spans="1:6" x14ac:dyDescent="0.3">
      <c r="A311" t="s">
        <v>31</v>
      </c>
      <c r="B311" t="str">
        <f>TRIM(Indice2026!$F$3)</f>
        <v>Inseguridad en el transporte público</v>
      </c>
      <c r="C311" s="59">
        <f>Indice2026!F34</f>
        <v>23</v>
      </c>
      <c r="D311" t="str">
        <f>TRIM(Indice2026!$F$5)</f>
        <v>Porcentaje de mujeres que dejaron de usar transporte público por temor a ser víctima de algún delito</v>
      </c>
      <c r="E311" t="str">
        <f>TRIM(Indice2026!$F$6)</f>
        <v>Porcentaje</v>
      </c>
      <c r="F311" t="s">
        <v>66</v>
      </c>
    </row>
    <row r="312" spans="1:6" x14ac:dyDescent="0.3">
      <c r="A312" t="s">
        <v>32</v>
      </c>
      <c r="B312" t="str">
        <f>TRIM(Indice2026!$F$3)</f>
        <v>Inseguridad en el transporte público</v>
      </c>
      <c r="C312" s="59">
        <f>Indice2026!F35</f>
        <v>29.3</v>
      </c>
      <c r="D312" t="str">
        <f>TRIM(Indice2026!$F$5)</f>
        <v>Porcentaje de mujeres que dejaron de usar transporte público por temor a ser víctima de algún delito</v>
      </c>
      <c r="E312" t="str">
        <f>TRIM(Indice2026!$F$6)</f>
        <v>Porcentaje</v>
      </c>
      <c r="F312" t="s">
        <v>66</v>
      </c>
    </row>
    <row r="313" spans="1:6" x14ac:dyDescent="0.3">
      <c r="A313" t="s">
        <v>33</v>
      </c>
      <c r="B313" t="str">
        <f>TRIM(Indice2026!$F$3)</f>
        <v>Inseguridad en el transporte público</v>
      </c>
      <c r="C313" s="59">
        <f>Indice2026!F36</f>
        <v>23.4</v>
      </c>
      <c r="D313" t="str">
        <f>TRIM(Indice2026!$F$5)</f>
        <v>Porcentaje de mujeres que dejaron de usar transporte público por temor a ser víctima de algún delito</v>
      </c>
      <c r="E313" t="str">
        <f>TRIM(Indice2026!$F$6)</f>
        <v>Porcentaje</v>
      </c>
      <c r="F313" t="s">
        <v>66</v>
      </c>
    </row>
    <row r="314" spans="1:6" x14ac:dyDescent="0.3">
      <c r="A314" t="s">
        <v>34</v>
      </c>
      <c r="B314" t="str">
        <f>TRIM(Indice2026!$F$3)</f>
        <v>Inseguridad en el transporte público</v>
      </c>
      <c r="C314" s="59">
        <f>Indice2026!F37</f>
        <v>31.5</v>
      </c>
      <c r="D314" t="str">
        <f>TRIM(Indice2026!$F$5)</f>
        <v>Porcentaje de mujeres que dejaron de usar transporte público por temor a ser víctima de algún delito</v>
      </c>
      <c r="E314" t="str">
        <f>TRIM(Indice2026!$F$6)</f>
        <v>Porcentaje</v>
      </c>
      <c r="F314" t="s">
        <v>66</v>
      </c>
    </row>
    <row r="315" spans="1:6" x14ac:dyDescent="0.3">
      <c r="A315" t="s">
        <v>35</v>
      </c>
      <c r="B315" t="str">
        <f>TRIM(Indice2026!$F$3)</f>
        <v>Inseguridad en el transporte público</v>
      </c>
      <c r="C315" s="59">
        <f>Indice2026!F38</f>
        <v>19.399999999999999</v>
      </c>
      <c r="D315" t="str">
        <f>TRIM(Indice2026!$F$5)</f>
        <v>Porcentaje de mujeres que dejaron de usar transporte público por temor a ser víctima de algún delito</v>
      </c>
      <c r="E315" t="str">
        <f>TRIM(Indice2026!$F$6)</f>
        <v>Porcentaje</v>
      </c>
      <c r="F315" t="s">
        <v>66</v>
      </c>
    </row>
    <row r="316" spans="1:6" x14ac:dyDescent="0.3">
      <c r="A316" t="s">
        <v>36</v>
      </c>
      <c r="B316" t="str">
        <f>TRIM(Indice2026!$F$3)</f>
        <v>Inseguridad en el transporte público</v>
      </c>
      <c r="C316" s="59">
        <f>Indice2026!F39</f>
        <v>24.9</v>
      </c>
      <c r="D316" t="str">
        <f>TRIM(Indice2026!$F$5)</f>
        <v>Porcentaje de mujeres que dejaron de usar transporte público por temor a ser víctima de algún delito</v>
      </c>
      <c r="E316" t="str">
        <f>TRIM(Indice2026!$F$6)</f>
        <v>Porcentaje</v>
      </c>
      <c r="F316" t="s">
        <v>66</v>
      </c>
    </row>
    <row r="317" spans="1:6" x14ac:dyDescent="0.3">
      <c r="A317" t="s">
        <v>37</v>
      </c>
      <c r="B317" t="str">
        <f>TRIM(Indice2026!$F$3)</f>
        <v>Inseguridad en el transporte público</v>
      </c>
      <c r="C317" s="59">
        <f>Indice2026!F40</f>
        <v>27.4</v>
      </c>
      <c r="D317" t="str">
        <f>TRIM(Indice2026!$F$5)</f>
        <v>Porcentaje de mujeres que dejaron de usar transporte público por temor a ser víctima de algún delito</v>
      </c>
      <c r="E317" t="str">
        <f>TRIM(Indice2026!$F$6)</f>
        <v>Porcentaje</v>
      </c>
      <c r="F317" t="s">
        <v>66</v>
      </c>
    </row>
    <row r="318" spans="1:6" x14ac:dyDescent="0.3">
      <c r="A318" t="s">
        <v>38</v>
      </c>
      <c r="B318" t="str">
        <f>TRIM(Indice2026!$F$3)</f>
        <v>Inseguridad en el transporte público</v>
      </c>
      <c r="C318" s="59">
        <f>Indice2026!F41</f>
        <v>18.399999999999999</v>
      </c>
      <c r="D318" t="str">
        <f>TRIM(Indice2026!$F$5)</f>
        <v>Porcentaje de mujeres que dejaron de usar transporte público por temor a ser víctima de algún delito</v>
      </c>
      <c r="E318" t="str">
        <f>TRIM(Indice2026!$F$6)</f>
        <v>Porcentaje</v>
      </c>
      <c r="F318" t="s">
        <v>66</v>
      </c>
    </row>
    <row r="319" spans="1:6" x14ac:dyDescent="0.3">
      <c r="A319" t="s">
        <v>39</v>
      </c>
      <c r="B319" t="str">
        <f>TRIM(Indice2026!$F$3)</f>
        <v>Inseguridad en el transporte público</v>
      </c>
      <c r="C319" s="59">
        <f>Indice2026!F42</f>
        <v>17.3</v>
      </c>
      <c r="D319" t="str">
        <f>TRIM(Indice2026!$F$5)</f>
        <v>Porcentaje de mujeres que dejaron de usar transporte público por temor a ser víctima de algún delito</v>
      </c>
      <c r="E319" t="str">
        <f>TRIM(Indice2026!$F$6)</f>
        <v>Porcentaje</v>
      </c>
      <c r="F319" t="s">
        <v>66</v>
      </c>
    </row>
    <row r="320" spans="1:6" x14ac:dyDescent="0.3">
      <c r="A320" t="s">
        <v>40</v>
      </c>
      <c r="B320" t="str">
        <f>TRIM(Indice2026!$F$3)</f>
        <v>Inseguridad en el transporte público</v>
      </c>
      <c r="C320" s="59">
        <f>Indice2026!F43</f>
        <v>12.1</v>
      </c>
      <c r="D320" t="str">
        <f>TRIM(Indice2026!$F$5)</f>
        <v>Porcentaje de mujeres que dejaron de usar transporte público por temor a ser víctima de algún delito</v>
      </c>
      <c r="E320" t="str">
        <f>TRIM(Indice2026!$F$6)</f>
        <v>Porcentaje</v>
      </c>
      <c r="F320" t="s">
        <v>66</v>
      </c>
    </row>
    <row r="321" spans="1:6" x14ac:dyDescent="0.3">
      <c r="A321" t="s">
        <v>41</v>
      </c>
      <c r="B321" t="str">
        <f>TRIM(Indice2026!$F$3)</f>
        <v>Inseguridad en el transporte público</v>
      </c>
      <c r="C321" s="59">
        <f>Indice2026!F44</f>
        <v>35.299999999999997</v>
      </c>
      <c r="D321" t="str">
        <f>TRIM(Indice2026!$F$5)</f>
        <v>Porcentaje de mujeres que dejaron de usar transporte público por temor a ser víctima de algún delito</v>
      </c>
      <c r="E321" t="str">
        <f>TRIM(Indice2026!$F$6)</f>
        <v>Porcentaje</v>
      </c>
      <c r="F321" t="s">
        <v>66</v>
      </c>
    </row>
    <row r="322" spans="1:6" x14ac:dyDescent="0.3">
      <c r="A322" t="s">
        <v>7</v>
      </c>
      <c r="B322" t="str">
        <f>TRIM(Indice2026!$C$3)</f>
        <v>Mujeres preparadas</v>
      </c>
      <c r="C322" s="59">
        <f>Indice2026!C13</f>
        <v>47.459683994610231</v>
      </c>
      <c r="D322" t="str">
        <f>TRIM(Indice2026!$C$5)</f>
        <v>Porcentaje de mujeres de 18 años y más con al menos educación media superior</v>
      </c>
      <c r="E322" t="str">
        <f>TRIM(Indice2026!$C$6)</f>
        <v>Porcentaje</v>
      </c>
      <c r="F322" t="s">
        <v>141</v>
      </c>
    </row>
    <row r="323" spans="1:6" x14ac:dyDescent="0.3">
      <c r="A323" t="s">
        <v>12</v>
      </c>
      <c r="B323" t="str">
        <f>TRIM(Indice2026!$C$3)</f>
        <v>Mujeres preparadas</v>
      </c>
      <c r="C323" s="59">
        <f>Indice2026!C14</f>
        <v>48.046475248242579</v>
      </c>
      <c r="D323" t="str">
        <f>TRIM(Indice2026!$C$5)</f>
        <v>Porcentaje de mujeres de 18 años y más con al menos educación media superior</v>
      </c>
      <c r="E323" t="str">
        <f>TRIM(Indice2026!$C$6)</f>
        <v>Porcentaje</v>
      </c>
      <c r="F323" t="s">
        <v>141</v>
      </c>
    </row>
    <row r="324" spans="1:6" x14ac:dyDescent="0.3">
      <c r="A324" t="s">
        <v>13</v>
      </c>
      <c r="B324" t="str">
        <f>TRIM(Indice2026!$C$3)</f>
        <v>Mujeres preparadas</v>
      </c>
      <c r="C324" s="59">
        <f>Indice2026!C15</f>
        <v>53.831557392125362</v>
      </c>
      <c r="D324" t="str">
        <f>TRIM(Indice2026!$C$5)</f>
        <v>Porcentaje de mujeres de 18 años y más con al menos educación media superior</v>
      </c>
      <c r="E324" t="str">
        <f>TRIM(Indice2026!$C$6)</f>
        <v>Porcentaje</v>
      </c>
      <c r="F324" t="s">
        <v>141</v>
      </c>
    </row>
    <row r="325" spans="1:6" x14ac:dyDescent="0.3">
      <c r="A325" t="s">
        <v>14</v>
      </c>
      <c r="B325" t="str">
        <f>TRIM(Indice2026!$C$3)</f>
        <v>Mujeres preparadas</v>
      </c>
      <c r="C325" s="59">
        <f>Indice2026!C16</f>
        <v>44.212023830610356</v>
      </c>
      <c r="D325" t="str">
        <f>TRIM(Indice2026!$C$5)</f>
        <v>Porcentaje de mujeres de 18 años y más con al menos educación media superior</v>
      </c>
      <c r="E325" t="str">
        <f>TRIM(Indice2026!$C$6)</f>
        <v>Porcentaje</v>
      </c>
      <c r="F325" t="s">
        <v>141</v>
      </c>
    </row>
    <row r="326" spans="1:6" x14ac:dyDescent="0.3">
      <c r="A326" t="s">
        <v>15</v>
      </c>
      <c r="B326" t="str">
        <f>TRIM(Indice2026!$C$3)</f>
        <v>Mujeres preparadas</v>
      </c>
      <c r="C326" s="59">
        <f>Indice2026!C19</f>
        <v>29.115125824185757</v>
      </c>
      <c r="D326" t="str">
        <f>TRIM(Indice2026!$C$5)</f>
        <v>Porcentaje de mujeres de 18 años y más con al menos educación media superior</v>
      </c>
      <c r="E326" t="str">
        <f>TRIM(Indice2026!$C$6)</f>
        <v>Porcentaje</v>
      </c>
      <c r="F326" t="s">
        <v>141</v>
      </c>
    </row>
    <row r="327" spans="1:6" x14ac:dyDescent="0.3">
      <c r="A327" t="s">
        <v>16</v>
      </c>
      <c r="B327" t="str">
        <f>TRIM(Indice2026!$C$3)</f>
        <v>Mujeres preparadas</v>
      </c>
      <c r="C327" s="59">
        <f>Indice2026!C20</f>
        <v>47.713388054763861</v>
      </c>
      <c r="D327" t="str">
        <f>TRIM(Indice2026!$C$5)</f>
        <v>Porcentaje de mujeres de 18 años y más con al menos educación media superior</v>
      </c>
      <c r="E327" t="str">
        <f>TRIM(Indice2026!$C$6)</f>
        <v>Porcentaje</v>
      </c>
      <c r="F327" t="s">
        <v>141</v>
      </c>
    </row>
    <row r="328" spans="1:6" x14ac:dyDescent="0.3">
      <c r="A328" t="s">
        <v>17</v>
      </c>
      <c r="B328" t="str">
        <f>TRIM(Indice2026!$C$3)</f>
        <v>Mujeres preparadas</v>
      </c>
      <c r="C328" s="59">
        <f>Indice2026!C21</f>
        <v>63.38429644985748</v>
      </c>
      <c r="D328" t="str">
        <f>TRIM(Indice2026!$C$5)</f>
        <v>Porcentaje de mujeres de 18 años y más con al menos educación media superior</v>
      </c>
      <c r="E328" t="str">
        <f>TRIM(Indice2026!$C$6)</f>
        <v>Porcentaje</v>
      </c>
      <c r="F328" t="s">
        <v>141</v>
      </c>
    </row>
    <row r="329" spans="1:6" x14ac:dyDescent="0.3">
      <c r="A329" t="s">
        <v>18</v>
      </c>
      <c r="B329" t="str">
        <f>TRIM(Indice2026!$C$3)</f>
        <v>Mujeres preparadas</v>
      </c>
      <c r="C329" s="59">
        <f>Indice2026!C17</f>
        <v>46.323161004158891</v>
      </c>
      <c r="D329" t="str">
        <f>TRIM(Indice2026!$C$5)</f>
        <v>Porcentaje de mujeres de 18 años y más con al menos educación media superior</v>
      </c>
      <c r="E329" t="str">
        <f>TRIM(Indice2026!$C$6)</f>
        <v>Porcentaje</v>
      </c>
      <c r="F329" t="s">
        <v>141</v>
      </c>
    </row>
    <row r="330" spans="1:6" x14ac:dyDescent="0.3">
      <c r="A330" t="s">
        <v>19</v>
      </c>
      <c r="B330" t="str">
        <f>TRIM(Indice2026!$C$3)</f>
        <v>Mujeres preparadas</v>
      </c>
      <c r="C330" s="59">
        <f>Indice2026!C18</f>
        <v>49.808072255151004</v>
      </c>
      <c r="D330" t="str">
        <f>TRIM(Indice2026!$C$5)</f>
        <v>Porcentaje de mujeres de 18 años y más con al menos educación media superior</v>
      </c>
      <c r="E330" t="str">
        <f>TRIM(Indice2026!$C$6)</f>
        <v>Porcentaje</v>
      </c>
      <c r="F330" t="s">
        <v>141</v>
      </c>
    </row>
    <row r="331" spans="1:6" x14ac:dyDescent="0.3">
      <c r="A331" t="s">
        <v>20</v>
      </c>
      <c r="B331" t="str">
        <f>TRIM(Indice2026!$C$3)</f>
        <v>Mujeres preparadas</v>
      </c>
      <c r="C331" s="59">
        <f>Indice2026!C22</f>
        <v>45.097585263328192</v>
      </c>
      <c r="D331" t="str">
        <f>TRIM(Indice2026!$C$5)</f>
        <v>Porcentaje de mujeres de 18 años y más con al menos educación media superior</v>
      </c>
      <c r="E331" t="str">
        <f>TRIM(Indice2026!$C$6)</f>
        <v>Porcentaje</v>
      </c>
      <c r="F331" t="s">
        <v>141</v>
      </c>
    </row>
    <row r="332" spans="1:6" x14ac:dyDescent="0.3">
      <c r="A332" t="s">
        <v>21</v>
      </c>
      <c r="B332" t="str">
        <f>TRIM(Indice2026!$C$3)</f>
        <v>Mujeres preparadas</v>
      </c>
      <c r="C332" s="59">
        <f>Indice2026!C23</f>
        <v>37.407342197758688</v>
      </c>
      <c r="D332" t="str">
        <f>TRIM(Indice2026!$C$5)</f>
        <v>Porcentaje de mujeres de 18 años y más con al menos educación media superior</v>
      </c>
      <c r="E332" t="str">
        <f>TRIM(Indice2026!$C$6)</f>
        <v>Porcentaje</v>
      </c>
      <c r="F332" t="s">
        <v>141</v>
      </c>
    </row>
    <row r="333" spans="1:6" x14ac:dyDescent="0.3">
      <c r="A333" t="s">
        <v>22</v>
      </c>
      <c r="B333" t="str">
        <f>TRIM(Indice2026!$C$3)</f>
        <v>Mujeres preparadas</v>
      </c>
      <c r="C333" s="59">
        <f>Indice2026!C24</f>
        <v>36.484708362624495</v>
      </c>
      <c r="D333" t="str">
        <f>TRIM(Indice2026!$C$5)</f>
        <v>Porcentaje de mujeres de 18 años y más con al menos educación media superior</v>
      </c>
      <c r="E333" t="str">
        <f>TRIM(Indice2026!$C$6)</f>
        <v>Porcentaje</v>
      </c>
      <c r="F333" t="s">
        <v>141</v>
      </c>
    </row>
    <row r="334" spans="1:6" x14ac:dyDescent="0.3">
      <c r="A334" t="s">
        <v>23</v>
      </c>
      <c r="B334" t="str">
        <f>TRIM(Indice2026!$C$3)</f>
        <v>Mujeres preparadas</v>
      </c>
      <c r="C334" s="59">
        <f>Indice2026!C25</f>
        <v>38.163825577179516</v>
      </c>
      <c r="D334" t="str">
        <f>TRIM(Indice2026!$C$5)</f>
        <v>Porcentaje de mujeres de 18 años y más con al menos educación media superior</v>
      </c>
      <c r="E334" t="str">
        <f>TRIM(Indice2026!$C$6)</f>
        <v>Porcentaje</v>
      </c>
      <c r="F334" t="s">
        <v>141</v>
      </c>
    </row>
    <row r="335" spans="1:6" x14ac:dyDescent="0.3">
      <c r="A335" t="s">
        <v>24</v>
      </c>
      <c r="B335" t="str">
        <f>TRIM(Indice2026!$C$3)</f>
        <v>Mujeres preparadas</v>
      </c>
      <c r="C335" s="59">
        <f>Indice2026!C26</f>
        <v>46.677303413964907</v>
      </c>
      <c r="D335" t="str">
        <f>TRIM(Indice2026!$C$5)</f>
        <v>Porcentaje de mujeres de 18 años y más con al menos educación media superior</v>
      </c>
      <c r="E335" t="str">
        <f>TRIM(Indice2026!$C$6)</f>
        <v>Porcentaje</v>
      </c>
      <c r="F335" t="s">
        <v>141</v>
      </c>
    </row>
    <row r="336" spans="1:6" x14ac:dyDescent="0.3">
      <c r="A336" t="s">
        <v>25</v>
      </c>
      <c r="B336" t="str">
        <f>TRIM(Indice2026!$C$3)</f>
        <v>Mujeres preparadas</v>
      </c>
      <c r="C336" s="59">
        <f>Indice2026!C28</f>
        <v>37.028902417526467</v>
      </c>
      <c r="D336" t="str">
        <f>TRIM(Indice2026!$C$5)</f>
        <v>Porcentaje de mujeres de 18 años y más con al menos educación media superior</v>
      </c>
      <c r="E336" t="str">
        <f>TRIM(Indice2026!$C$6)</f>
        <v>Porcentaje</v>
      </c>
      <c r="F336" t="s">
        <v>141</v>
      </c>
    </row>
    <row r="337" spans="1:6" x14ac:dyDescent="0.3">
      <c r="A337" t="s">
        <v>26</v>
      </c>
      <c r="B337" t="str">
        <f>TRIM(Indice2026!$C$3)</f>
        <v>Mujeres preparadas</v>
      </c>
      <c r="C337" s="59">
        <f>Indice2026!C29</f>
        <v>45.369797611061259</v>
      </c>
      <c r="D337" t="str">
        <f>TRIM(Indice2026!$C$5)</f>
        <v>Porcentaje de mujeres de 18 años y más con al menos educación media superior</v>
      </c>
      <c r="E337" t="str">
        <f>TRIM(Indice2026!$C$6)</f>
        <v>Porcentaje</v>
      </c>
      <c r="F337" t="s">
        <v>141</v>
      </c>
    </row>
    <row r="338" spans="1:6" x14ac:dyDescent="0.3">
      <c r="A338" t="s">
        <v>0</v>
      </c>
      <c r="B338" t="str">
        <f>TRIM(Indice2026!$C$3)</f>
        <v>Mujeres preparadas</v>
      </c>
      <c r="C338" s="59">
        <f>Indice2026!C27</f>
        <v>48.866328771915512</v>
      </c>
      <c r="D338" t="str">
        <f>TRIM(Indice2026!$C$5)</f>
        <v>Porcentaje de mujeres de 18 años y más con al menos educación media superior</v>
      </c>
      <c r="E338" t="str">
        <f>TRIM(Indice2026!$C$6)</f>
        <v>Porcentaje</v>
      </c>
      <c r="F338" t="s">
        <v>141</v>
      </c>
    </row>
    <row r="339" spans="1:6" x14ac:dyDescent="0.3">
      <c r="A339" t="s">
        <v>27</v>
      </c>
      <c r="B339" t="str">
        <f>TRIM(Indice2026!$C$3)</f>
        <v>Mujeres preparadas</v>
      </c>
      <c r="C339" s="59">
        <f>Indice2026!C30</f>
        <v>48.636867966397212</v>
      </c>
      <c r="D339" t="str">
        <f>TRIM(Indice2026!$C$5)</f>
        <v>Porcentaje de mujeres de 18 años y más con al menos educación media superior</v>
      </c>
      <c r="E339" t="str">
        <f>TRIM(Indice2026!$C$6)</f>
        <v>Porcentaje</v>
      </c>
      <c r="F339" t="s">
        <v>141</v>
      </c>
    </row>
    <row r="340" spans="1:6" x14ac:dyDescent="0.3">
      <c r="A340" t="s">
        <v>28</v>
      </c>
      <c r="B340" t="str">
        <f>TRIM(Indice2026!$C$3)</f>
        <v>Mujeres preparadas</v>
      </c>
      <c r="C340" s="59">
        <f>Indice2026!C31</f>
        <v>45.155118780402574</v>
      </c>
      <c r="D340" t="str">
        <f>TRIM(Indice2026!$C$5)</f>
        <v>Porcentaje de mujeres de 18 años y más con al menos educación media superior</v>
      </c>
      <c r="E340" t="str">
        <f>TRIM(Indice2026!$C$6)</f>
        <v>Porcentaje</v>
      </c>
      <c r="F340" t="s">
        <v>141</v>
      </c>
    </row>
    <row r="341" spans="1:6" x14ac:dyDescent="0.3">
      <c r="A341" t="s">
        <v>29</v>
      </c>
      <c r="B341" t="str">
        <f>TRIM(Indice2026!$C$3)</f>
        <v>Mujeres preparadas</v>
      </c>
      <c r="C341" s="59">
        <f>Indice2026!C32</f>
        <v>30.560095750870236</v>
      </c>
      <c r="D341" t="str">
        <f>TRIM(Indice2026!$C$5)</f>
        <v>Porcentaje de mujeres de 18 años y más con al menos educación media superior</v>
      </c>
      <c r="E341" t="str">
        <f>TRIM(Indice2026!$C$6)</f>
        <v>Porcentaje</v>
      </c>
      <c r="F341" t="s">
        <v>141</v>
      </c>
    </row>
    <row r="342" spans="1:6" x14ac:dyDescent="0.3">
      <c r="A342" t="s">
        <v>30</v>
      </c>
      <c r="B342" t="str">
        <f>TRIM(Indice2026!$C$3)</f>
        <v>Mujeres preparadas</v>
      </c>
      <c r="C342" s="59">
        <f>Indice2026!C33</f>
        <v>43.2888903686815</v>
      </c>
      <c r="D342" t="str">
        <f>TRIM(Indice2026!$C$5)</f>
        <v>Porcentaje de mujeres de 18 años y más con al menos educación media superior</v>
      </c>
      <c r="E342" t="str">
        <f>TRIM(Indice2026!$C$6)</f>
        <v>Porcentaje</v>
      </c>
      <c r="F342" t="s">
        <v>141</v>
      </c>
    </row>
    <row r="343" spans="1:6" x14ac:dyDescent="0.3">
      <c r="A343" t="s">
        <v>31</v>
      </c>
      <c r="B343" t="str">
        <f>TRIM(Indice2026!$C$3)</f>
        <v>Mujeres preparadas</v>
      </c>
      <c r="C343" s="59">
        <f>Indice2026!C34</f>
        <v>49.504596747037951</v>
      </c>
      <c r="D343" t="str">
        <f>TRIM(Indice2026!$C$5)</f>
        <v>Porcentaje de mujeres de 18 años y más con al menos educación media superior</v>
      </c>
      <c r="E343" t="str">
        <f>TRIM(Indice2026!$C$6)</f>
        <v>Porcentaje</v>
      </c>
      <c r="F343" t="s">
        <v>141</v>
      </c>
    </row>
    <row r="344" spans="1:6" x14ac:dyDescent="0.3">
      <c r="A344" t="s">
        <v>32</v>
      </c>
      <c r="B344" t="str">
        <f>TRIM(Indice2026!$C$3)</f>
        <v>Mujeres preparadas</v>
      </c>
      <c r="C344" s="59">
        <f>Indice2026!C35</f>
        <v>50.568099184314008</v>
      </c>
      <c r="D344" t="str">
        <f>TRIM(Indice2026!$C$5)</f>
        <v>Porcentaje de mujeres de 18 años y más con al menos educación media superior</v>
      </c>
      <c r="E344" t="str">
        <f>TRIM(Indice2026!$C$6)</f>
        <v>Porcentaje</v>
      </c>
      <c r="F344" t="s">
        <v>141</v>
      </c>
    </row>
    <row r="345" spans="1:6" x14ac:dyDescent="0.3">
      <c r="A345" t="s">
        <v>33</v>
      </c>
      <c r="B345" t="str">
        <f>TRIM(Indice2026!$C$3)</f>
        <v>Mujeres preparadas</v>
      </c>
      <c r="C345" s="59">
        <f>Indice2026!C36</f>
        <v>40.505685448966922</v>
      </c>
      <c r="D345" t="str">
        <f>TRIM(Indice2026!$C$5)</f>
        <v>Porcentaje de mujeres de 18 años y más con al menos educación media superior</v>
      </c>
      <c r="E345" t="str">
        <f>TRIM(Indice2026!$C$6)</f>
        <v>Porcentaje</v>
      </c>
      <c r="F345" t="s">
        <v>141</v>
      </c>
    </row>
    <row r="346" spans="1:6" x14ac:dyDescent="0.3">
      <c r="A346" t="s">
        <v>34</v>
      </c>
      <c r="B346" t="str">
        <f>TRIM(Indice2026!$C$3)</f>
        <v>Mujeres preparadas</v>
      </c>
      <c r="C346" s="59">
        <f>Indice2026!C37</f>
        <v>51.820321749654639</v>
      </c>
      <c r="D346" t="str">
        <f>TRIM(Indice2026!$C$5)</f>
        <v>Porcentaje de mujeres de 18 años y más con al menos educación media superior</v>
      </c>
      <c r="E346" t="str">
        <f>TRIM(Indice2026!$C$6)</f>
        <v>Porcentaje</v>
      </c>
      <c r="F346" t="s">
        <v>141</v>
      </c>
    </row>
    <row r="347" spans="1:6" x14ac:dyDescent="0.3">
      <c r="A347" t="s">
        <v>35</v>
      </c>
      <c r="B347" t="str">
        <f>TRIM(Indice2026!$C$3)</f>
        <v>Mujeres preparadas</v>
      </c>
      <c r="C347" s="59">
        <f>Indice2026!C38</f>
        <v>50.972797229019783</v>
      </c>
      <c r="D347" t="str">
        <f>TRIM(Indice2026!$C$5)</f>
        <v>Porcentaje de mujeres de 18 años y más con al menos educación media superior</v>
      </c>
      <c r="E347" t="str">
        <f>TRIM(Indice2026!$C$6)</f>
        <v>Porcentaje</v>
      </c>
      <c r="F347" t="s">
        <v>141</v>
      </c>
    </row>
    <row r="348" spans="1:6" x14ac:dyDescent="0.3">
      <c r="A348" t="s">
        <v>36</v>
      </c>
      <c r="B348" t="str">
        <f>TRIM(Indice2026!$C$3)</f>
        <v>Mujeres preparadas</v>
      </c>
      <c r="C348" s="59">
        <f>Indice2026!C39</f>
        <v>43.655318001320545</v>
      </c>
      <c r="D348" t="str">
        <f>TRIM(Indice2026!$C$5)</f>
        <v>Porcentaje de mujeres de 18 años y más con al menos educación media superior</v>
      </c>
      <c r="E348" t="str">
        <f>TRIM(Indice2026!$C$6)</f>
        <v>Porcentaje</v>
      </c>
      <c r="F348" t="s">
        <v>141</v>
      </c>
    </row>
    <row r="349" spans="1:6" x14ac:dyDescent="0.3">
      <c r="A349" t="s">
        <v>37</v>
      </c>
      <c r="B349" t="str">
        <f>TRIM(Indice2026!$C$3)</f>
        <v>Mujeres preparadas</v>
      </c>
      <c r="C349" s="59">
        <f>Indice2026!C40</f>
        <v>47.984071712701628</v>
      </c>
      <c r="D349" t="str">
        <f>TRIM(Indice2026!$C$5)</f>
        <v>Porcentaje de mujeres de 18 años y más con al menos educación media superior</v>
      </c>
      <c r="E349" t="str">
        <f>TRIM(Indice2026!$C$6)</f>
        <v>Porcentaje</v>
      </c>
      <c r="F349" t="s">
        <v>141</v>
      </c>
    </row>
    <row r="350" spans="1:6" x14ac:dyDescent="0.3">
      <c r="A350" t="s">
        <v>38</v>
      </c>
      <c r="B350" t="str">
        <f>TRIM(Indice2026!$C$3)</f>
        <v>Mujeres preparadas</v>
      </c>
      <c r="C350" s="59">
        <f>Indice2026!C41</f>
        <v>42.037160612253409</v>
      </c>
      <c r="D350" t="str">
        <f>TRIM(Indice2026!$C$5)</f>
        <v>Porcentaje de mujeres de 18 años y más con al menos educación media superior</v>
      </c>
      <c r="E350" t="str">
        <f>TRIM(Indice2026!$C$6)</f>
        <v>Porcentaje</v>
      </c>
      <c r="F350" t="s">
        <v>141</v>
      </c>
    </row>
    <row r="351" spans="1:6" x14ac:dyDescent="0.3">
      <c r="A351" t="s">
        <v>39</v>
      </c>
      <c r="B351" t="str">
        <f>TRIM(Indice2026!$C$3)</f>
        <v>Mujeres preparadas</v>
      </c>
      <c r="C351" s="59">
        <f>Indice2026!C42</f>
        <v>38.980833927963161</v>
      </c>
      <c r="D351" t="str">
        <f>TRIM(Indice2026!$C$5)</f>
        <v>Porcentaje de mujeres de 18 años y más con al menos educación media superior</v>
      </c>
      <c r="E351" t="str">
        <f>TRIM(Indice2026!$C$6)</f>
        <v>Porcentaje</v>
      </c>
      <c r="F351" t="s">
        <v>141</v>
      </c>
    </row>
    <row r="352" spans="1:6" x14ac:dyDescent="0.3">
      <c r="A352" t="s">
        <v>40</v>
      </c>
      <c r="B352" t="str">
        <f>TRIM(Indice2026!$C$3)</f>
        <v>Mujeres preparadas</v>
      </c>
      <c r="C352" s="59">
        <f>Indice2026!C43</f>
        <v>44.592811011094739</v>
      </c>
      <c r="D352" t="str">
        <f>TRIM(Indice2026!$C$5)</f>
        <v>Porcentaje de mujeres de 18 años y más con al menos educación media superior</v>
      </c>
      <c r="E352" t="str">
        <f>TRIM(Indice2026!$C$6)</f>
        <v>Porcentaje</v>
      </c>
      <c r="F352" t="s">
        <v>141</v>
      </c>
    </row>
    <row r="353" spans="1:6" x14ac:dyDescent="0.3">
      <c r="A353" t="s">
        <v>41</v>
      </c>
      <c r="B353" t="str">
        <f>TRIM(Indice2026!$C$3)</f>
        <v>Mujeres preparadas</v>
      </c>
      <c r="C353" s="59">
        <f>Indice2026!C44</f>
        <v>36.581516822419687</v>
      </c>
      <c r="D353" t="str">
        <f>TRIM(Indice2026!$C$5)</f>
        <v>Porcentaje de mujeres de 18 años y más con al menos educación media superior</v>
      </c>
      <c r="E353" t="str">
        <f>TRIM(Indice2026!$C$6)</f>
        <v>Porcentaje</v>
      </c>
      <c r="F353" t="s">
        <v>141</v>
      </c>
    </row>
    <row r="354" spans="1:6" x14ac:dyDescent="0.3">
      <c r="A354" t="s">
        <v>7</v>
      </c>
      <c r="B354" t="str">
        <f>TRIM(Indice2026!$H$3)</f>
        <v>Mujeres que quieren trabajar y no pueden</v>
      </c>
      <c r="C354" s="59">
        <f>Indice2026!H13</f>
        <v>14.766362461321531</v>
      </c>
      <c r="D354" t="str">
        <f>TRIM(Indice2026!$H$5)</f>
        <v>Porcentaje de trabajadoras potenciales desocupadas, subocupadas o disponibles pero no activas en la economía</v>
      </c>
      <c r="E354" t="str">
        <f>TRIM(Indice2026!$H$6)</f>
        <v>Porcentaje</v>
      </c>
      <c r="F354" t="s">
        <v>141</v>
      </c>
    </row>
    <row r="355" spans="1:6" x14ac:dyDescent="0.3">
      <c r="A355" t="s">
        <v>12</v>
      </c>
      <c r="B355" t="str">
        <f>TRIM(Indice2026!$H$3)</f>
        <v>Mujeres que quieren trabajar y no pueden</v>
      </c>
      <c r="C355" s="59">
        <f>Indice2026!H14</f>
        <v>13.57419832749207</v>
      </c>
      <c r="D355" t="str">
        <f>TRIM(Indice2026!$H$5)</f>
        <v>Porcentaje de trabajadoras potenciales desocupadas, subocupadas o disponibles pero no activas en la economía</v>
      </c>
      <c r="E355" t="str">
        <f>TRIM(Indice2026!$H$6)</f>
        <v>Porcentaje</v>
      </c>
      <c r="F355" t="s">
        <v>141</v>
      </c>
    </row>
    <row r="356" spans="1:6" x14ac:dyDescent="0.3">
      <c r="A356" t="s">
        <v>13</v>
      </c>
      <c r="B356" t="str">
        <f>TRIM(Indice2026!$H$3)</f>
        <v>Mujeres que quieren trabajar y no pueden</v>
      </c>
      <c r="C356" s="59">
        <f>Indice2026!H15</f>
        <v>15.364817974426318</v>
      </c>
      <c r="D356" t="str">
        <f>TRIM(Indice2026!$H$5)</f>
        <v>Porcentaje de trabajadoras potenciales desocupadas, subocupadas o disponibles pero no activas en la economía</v>
      </c>
      <c r="E356" t="str">
        <f>TRIM(Indice2026!$H$6)</f>
        <v>Porcentaje</v>
      </c>
      <c r="F356" t="s">
        <v>141</v>
      </c>
    </row>
    <row r="357" spans="1:6" x14ac:dyDescent="0.3">
      <c r="A357" t="s">
        <v>14</v>
      </c>
      <c r="B357" t="str">
        <f>TRIM(Indice2026!$H$3)</f>
        <v>Mujeres que quieren trabajar y no pueden</v>
      </c>
      <c r="C357" s="59">
        <f>Indice2026!H16</f>
        <v>27.20061566938956</v>
      </c>
      <c r="D357" t="str">
        <f>TRIM(Indice2026!$H$5)</f>
        <v>Porcentaje de trabajadoras potenciales desocupadas, subocupadas o disponibles pero no activas en la economía</v>
      </c>
      <c r="E357" t="str">
        <f>TRIM(Indice2026!$H$6)</f>
        <v>Porcentaje</v>
      </c>
      <c r="F357" t="s">
        <v>141</v>
      </c>
    </row>
    <row r="358" spans="1:6" x14ac:dyDescent="0.3">
      <c r="A358" t="s">
        <v>15</v>
      </c>
      <c r="B358" t="str">
        <f>TRIM(Indice2026!$H$3)</f>
        <v>Mujeres que quieren trabajar y no pueden</v>
      </c>
      <c r="C358" s="59">
        <f>Indice2026!H19</f>
        <v>28.804339742513712</v>
      </c>
      <c r="D358" t="str">
        <f>TRIM(Indice2026!$H$5)</f>
        <v>Porcentaje de trabajadoras potenciales desocupadas, subocupadas o disponibles pero no activas en la economía</v>
      </c>
      <c r="E358" t="str">
        <f>TRIM(Indice2026!$H$6)</f>
        <v>Porcentaje</v>
      </c>
      <c r="F358" t="s">
        <v>141</v>
      </c>
    </row>
    <row r="359" spans="1:6" x14ac:dyDescent="0.3">
      <c r="A359" t="s">
        <v>16</v>
      </c>
      <c r="B359" t="str">
        <f>TRIM(Indice2026!$H$3)</f>
        <v>Mujeres que quieren trabajar y no pueden</v>
      </c>
      <c r="C359" s="59">
        <f>Indice2026!H20</f>
        <v>17.962268433015645</v>
      </c>
      <c r="D359" t="str">
        <f>TRIM(Indice2026!$H$5)</f>
        <v>Porcentaje de trabajadoras potenciales desocupadas, subocupadas o disponibles pero no activas en la economía</v>
      </c>
      <c r="E359" t="str">
        <f>TRIM(Indice2026!$H$6)</f>
        <v>Porcentaje</v>
      </c>
      <c r="F359" t="s">
        <v>141</v>
      </c>
    </row>
    <row r="360" spans="1:6" x14ac:dyDescent="0.3">
      <c r="A360" t="s">
        <v>17</v>
      </c>
      <c r="B360" t="str">
        <f>TRIM(Indice2026!$H$3)</f>
        <v>Mujeres que quieren trabajar y no pueden</v>
      </c>
      <c r="C360" s="59">
        <f>Indice2026!H21</f>
        <v>22.180020187224194</v>
      </c>
      <c r="D360" t="str">
        <f>TRIM(Indice2026!$H$5)</f>
        <v>Porcentaje de trabajadoras potenciales desocupadas, subocupadas o disponibles pero no activas en la economía</v>
      </c>
      <c r="E360" t="str">
        <f>TRIM(Indice2026!$H$6)</f>
        <v>Porcentaje</v>
      </c>
      <c r="F360" t="s">
        <v>141</v>
      </c>
    </row>
    <row r="361" spans="1:6" x14ac:dyDescent="0.3">
      <c r="A361" t="s">
        <v>18</v>
      </c>
      <c r="B361" t="str">
        <f>TRIM(Indice2026!$H$3)</f>
        <v>Mujeres que quieren trabajar y no pueden</v>
      </c>
      <c r="C361" s="59">
        <f>Indice2026!H17</f>
        <v>14.234483412153859</v>
      </c>
      <c r="D361" t="str">
        <f>TRIM(Indice2026!$H$5)</f>
        <v>Porcentaje de trabajadoras potenciales desocupadas, subocupadas o disponibles pero no activas en la economía</v>
      </c>
      <c r="E361" t="str">
        <f>TRIM(Indice2026!$H$6)</f>
        <v>Porcentaje</v>
      </c>
      <c r="F361" t="s">
        <v>141</v>
      </c>
    </row>
    <row r="362" spans="1:6" x14ac:dyDescent="0.3">
      <c r="A362" t="s">
        <v>19</v>
      </c>
      <c r="B362" t="str">
        <f>TRIM(Indice2026!$H$3)</f>
        <v>Mujeres que quieren trabajar y no pueden</v>
      </c>
      <c r="C362" s="59">
        <f>Indice2026!H18</f>
        <v>12.896750308515015</v>
      </c>
      <c r="D362" t="str">
        <f>TRIM(Indice2026!$H$5)</f>
        <v>Porcentaje de trabajadoras potenciales desocupadas, subocupadas o disponibles pero no activas en la economía</v>
      </c>
      <c r="E362" t="str">
        <f>TRIM(Indice2026!$H$6)</f>
        <v>Porcentaje</v>
      </c>
      <c r="F362" t="s">
        <v>141</v>
      </c>
    </row>
    <row r="363" spans="1:6" x14ac:dyDescent="0.3">
      <c r="A363" t="s">
        <v>20</v>
      </c>
      <c r="B363" t="str">
        <f>TRIM(Indice2026!$H$3)</f>
        <v>Mujeres que quieren trabajar y no pueden</v>
      </c>
      <c r="C363" s="59">
        <f>Indice2026!H22</f>
        <v>20.397651602860808</v>
      </c>
      <c r="D363" t="str">
        <f>TRIM(Indice2026!$H$5)</f>
        <v>Porcentaje de trabajadoras potenciales desocupadas, subocupadas o disponibles pero no activas en la economía</v>
      </c>
      <c r="E363" t="str">
        <f>TRIM(Indice2026!$H$6)</f>
        <v>Porcentaje</v>
      </c>
      <c r="F363" t="s">
        <v>141</v>
      </c>
    </row>
    <row r="364" spans="1:6" x14ac:dyDescent="0.3">
      <c r="A364" t="s">
        <v>21</v>
      </c>
      <c r="B364" t="str">
        <f>TRIM(Indice2026!$H$3)</f>
        <v>Mujeres que quieren trabajar y no pueden</v>
      </c>
      <c r="C364" s="59">
        <f>Indice2026!H23</f>
        <v>30.757068717985998</v>
      </c>
      <c r="D364" t="str">
        <f>TRIM(Indice2026!$H$5)</f>
        <v>Porcentaje de trabajadoras potenciales desocupadas, subocupadas o disponibles pero no activas en la economía</v>
      </c>
      <c r="E364" t="str">
        <f>TRIM(Indice2026!$H$6)</f>
        <v>Porcentaje</v>
      </c>
      <c r="F364" t="s">
        <v>141</v>
      </c>
    </row>
    <row r="365" spans="1:6" x14ac:dyDescent="0.3">
      <c r="A365" t="s">
        <v>22</v>
      </c>
      <c r="B365" t="str">
        <f>TRIM(Indice2026!$H$3)</f>
        <v>Mujeres que quieren trabajar y no pueden</v>
      </c>
      <c r="C365" s="59">
        <f>Indice2026!H24</f>
        <v>17.891231389216436</v>
      </c>
      <c r="D365" t="str">
        <f>TRIM(Indice2026!$H$5)</f>
        <v>Porcentaje de trabajadoras potenciales desocupadas, subocupadas o disponibles pero no activas en la economía</v>
      </c>
      <c r="E365" t="str">
        <f>TRIM(Indice2026!$H$6)</f>
        <v>Porcentaje</v>
      </c>
      <c r="F365" t="s">
        <v>141</v>
      </c>
    </row>
    <row r="366" spans="1:6" x14ac:dyDescent="0.3">
      <c r="A366" t="s">
        <v>23</v>
      </c>
      <c r="B366" t="str">
        <f>TRIM(Indice2026!$H$3)</f>
        <v>Mujeres que quieren trabajar y no pueden</v>
      </c>
      <c r="C366" s="59">
        <f>Indice2026!H25</f>
        <v>22.999588668133534</v>
      </c>
      <c r="D366" t="str">
        <f>TRIM(Indice2026!$H$5)</f>
        <v>Porcentaje de trabajadoras potenciales desocupadas, subocupadas o disponibles pero no activas en la economía</v>
      </c>
      <c r="E366" t="str">
        <f>TRIM(Indice2026!$H$6)</f>
        <v>Porcentaje</v>
      </c>
      <c r="F366" t="s">
        <v>141</v>
      </c>
    </row>
    <row r="367" spans="1:6" x14ac:dyDescent="0.3">
      <c r="A367" t="s">
        <v>24</v>
      </c>
      <c r="B367" t="str">
        <f>TRIM(Indice2026!$H$3)</f>
        <v>Mujeres que quieren trabajar y no pueden</v>
      </c>
      <c r="C367" s="59">
        <f>Indice2026!H26</f>
        <v>11.23167374489951</v>
      </c>
      <c r="D367" t="str">
        <f>TRIM(Indice2026!$H$5)</f>
        <v>Porcentaje de trabajadoras potenciales desocupadas, subocupadas o disponibles pero no activas en la economía</v>
      </c>
      <c r="E367" t="str">
        <f>TRIM(Indice2026!$H$6)</f>
        <v>Porcentaje</v>
      </c>
      <c r="F367" t="s">
        <v>141</v>
      </c>
    </row>
    <row r="368" spans="1:6" x14ac:dyDescent="0.3">
      <c r="A368" t="s">
        <v>25</v>
      </c>
      <c r="B368" t="str">
        <f>TRIM(Indice2026!$H$3)</f>
        <v>Mujeres que quieren trabajar y no pueden</v>
      </c>
      <c r="C368" s="59">
        <f>Indice2026!H28</f>
        <v>25.045585066527671</v>
      </c>
      <c r="D368" t="str">
        <f>TRIM(Indice2026!$H$5)</f>
        <v>Porcentaje de trabajadoras potenciales desocupadas, subocupadas o disponibles pero no activas en la economía</v>
      </c>
      <c r="E368" t="str">
        <f>TRIM(Indice2026!$H$6)</f>
        <v>Porcentaje</v>
      </c>
      <c r="F368" t="s">
        <v>141</v>
      </c>
    </row>
    <row r="369" spans="1:6" x14ac:dyDescent="0.3">
      <c r="A369" t="s">
        <v>26</v>
      </c>
      <c r="B369" t="str">
        <f>TRIM(Indice2026!$H$3)</f>
        <v>Mujeres que quieren trabajar y no pueden</v>
      </c>
      <c r="C369" s="59">
        <f>Indice2026!H29</f>
        <v>15.790643534820603</v>
      </c>
      <c r="D369" t="str">
        <f>TRIM(Indice2026!$H$5)</f>
        <v>Porcentaje de trabajadoras potenciales desocupadas, subocupadas o disponibles pero no activas en la economía</v>
      </c>
      <c r="E369" t="str">
        <f>TRIM(Indice2026!$H$6)</f>
        <v>Porcentaje</v>
      </c>
      <c r="F369" t="s">
        <v>141</v>
      </c>
    </row>
    <row r="370" spans="1:6" x14ac:dyDescent="0.3">
      <c r="A370" t="s">
        <v>0</v>
      </c>
      <c r="B370" t="str">
        <f>TRIM(Indice2026!$H$3)</f>
        <v>Mujeres que quieren trabajar y no pueden</v>
      </c>
      <c r="C370" s="59">
        <f>Indice2026!H27</f>
        <v>17.807211879624493</v>
      </c>
      <c r="D370" t="str">
        <f>TRIM(Indice2026!$H$5)</f>
        <v>Porcentaje de trabajadoras potenciales desocupadas, subocupadas o disponibles pero no activas en la economía</v>
      </c>
      <c r="E370" t="str">
        <f>TRIM(Indice2026!$H$6)</f>
        <v>Porcentaje</v>
      </c>
      <c r="F370" t="s">
        <v>141</v>
      </c>
    </row>
    <row r="371" spans="1:6" x14ac:dyDescent="0.3">
      <c r="A371" t="s">
        <v>27</v>
      </c>
      <c r="B371" t="str">
        <f>TRIM(Indice2026!$H$3)</f>
        <v>Mujeres que quieren trabajar y no pueden</v>
      </c>
      <c r="C371" s="59">
        <f>Indice2026!H30</f>
        <v>21.657201942741956</v>
      </c>
      <c r="D371" t="str">
        <f>TRIM(Indice2026!$H$5)</f>
        <v>Porcentaje de trabajadoras potenciales desocupadas, subocupadas o disponibles pero no activas en la economía</v>
      </c>
      <c r="E371" t="str">
        <f>TRIM(Indice2026!$H$6)</f>
        <v>Porcentaje</v>
      </c>
      <c r="F371" t="s">
        <v>141</v>
      </c>
    </row>
    <row r="372" spans="1:6" x14ac:dyDescent="0.3">
      <c r="A372" t="s">
        <v>28</v>
      </c>
      <c r="B372" t="str">
        <f>TRIM(Indice2026!$H$3)</f>
        <v>Mujeres que quieren trabajar y no pueden</v>
      </c>
      <c r="C372" s="59">
        <f>Indice2026!H31</f>
        <v>12.054588792027518</v>
      </c>
      <c r="D372" t="str">
        <f>TRIM(Indice2026!$H$5)</f>
        <v>Porcentaje de trabajadoras potenciales desocupadas, subocupadas o disponibles pero no activas en la economía</v>
      </c>
      <c r="E372" t="str">
        <f>TRIM(Indice2026!$H$6)</f>
        <v>Porcentaje</v>
      </c>
      <c r="F372" t="s">
        <v>141</v>
      </c>
    </row>
    <row r="373" spans="1:6" x14ac:dyDescent="0.3">
      <c r="A373" t="s">
        <v>29</v>
      </c>
      <c r="B373" t="str">
        <f>TRIM(Indice2026!$H$3)</f>
        <v>Mujeres que quieren trabajar y no pueden</v>
      </c>
      <c r="C373" s="59">
        <f>Indice2026!H32</f>
        <v>35.287583037536919</v>
      </c>
      <c r="D373" t="str">
        <f>TRIM(Indice2026!$H$5)</f>
        <v>Porcentaje de trabajadoras potenciales desocupadas, subocupadas o disponibles pero no activas en la economía</v>
      </c>
      <c r="E373" t="str">
        <f>TRIM(Indice2026!$H$6)</f>
        <v>Porcentaje</v>
      </c>
      <c r="F373" t="s">
        <v>141</v>
      </c>
    </row>
    <row r="374" spans="1:6" x14ac:dyDescent="0.3">
      <c r="A374" t="s">
        <v>30</v>
      </c>
      <c r="B374" t="str">
        <f>TRIM(Indice2026!$H$3)</f>
        <v>Mujeres que quieren trabajar y no pueden</v>
      </c>
      <c r="C374" s="59">
        <f>Indice2026!H33</f>
        <v>19.086947887340397</v>
      </c>
      <c r="D374" t="str">
        <f>TRIM(Indice2026!$H$5)</f>
        <v>Porcentaje de trabajadoras potenciales desocupadas, subocupadas o disponibles pero no activas en la economía</v>
      </c>
      <c r="E374" t="str">
        <f>TRIM(Indice2026!$H$6)</f>
        <v>Porcentaje</v>
      </c>
      <c r="F374" t="s">
        <v>141</v>
      </c>
    </row>
    <row r="375" spans="1:6" x14ac:dyDescent="0.3">
      <c r="A375" t="s">
        <v>31</v>
      </c>
      <c r="B375" t="str">
        <f>TRIM(Indice2026!$H$3)</f>
        <v>Mujeres que quieren trabajar y no pueden</v>
      </c>
      <c r="C375" s="59">
        <f>Indice2026!H34</f>
        <v>12.083372979732761</v>
      </c>
      <c r="D375" t="str">
        <f>TRIM(Indice2026!$H$5)</f>
        <v>Porcentaje de trabajadoras potenciales desocupadas, subocupadas o disponibles pero no activas en la economía</v>
      </c>
      <c r="E375" t="str">
        <f>TRIM(Indice2026!$H$6)</f>
        <v>Porcentaje</v>
      </c>
      <c r="F375" t="s">
        <v>141</v>
      </c>
    </row>
    <row r="376" spans="1:6" x14ac:dyDescent="0.3">
      <c r="A376" t="s">
        <v>32</v>
      </c>
      <c r="B376" t="str">
        <f>TRIM(Indice2026!$H$3)</f>
        <v>Mujeres que quieren trabajar y no pueden</v>
      </c>
      <c r="C376" s="59">
        <f>Indice2026!H35</f>
        <v>17.442556044397591</v>
      </c>
      <c r="D376" t="str">
        <f>TRIM(Indice2026!$H$5)</f>
        <v>Porcentaje de trabajadoras potenciales desocupadas, subocupadas o disponibles pero no activas en la economía</v>
      </c>
      <c r="E376" t="str">
        <f>TRIM(Indice2026!$H$6)</f>
        <v>Porcentaje</v>
      </c>
      <c r="F376" t="s">
        <v>141</v>
      </c>
    </row>
    <row r="377" spans="1:6" x14ac:dyDescent="0.3">
      <c r="A377" t="s">
        <v>33</v>
      </c>
      <c r="B377" t="str">
        <f>TRIM(Indice2026!$H$3)</f>
        <v>Mujeres que quieren trabajar y no pueden</v>
      </c>
      <c r="C377" s="59">
        <f>Indice2026!H36</f>
        <v>31.616804521775972</v>
      </c>
      <c r="D377" t="str">
        <f>TRIM(Indice2026!$H$5)</f>
        <v>Porcentaje de trabajadoras potenciales desocupadas, subocupadas o disponibles pero no activas en la economía</v>
      </c>
      <c r="E377" t="str">
        <f>TRIM(Indice2026!$H$6)</f>
        <v>Porcentaje</v>
      </c>
      <c r="F377" t="s">
        <v>141</v>
      </c>
    </row>
    <row r="378" spans="1:6" x14ac:dyDescent="0.3">
      <c r="A378" t="s">
        <v>34</v>
      </c>
      <c r="B378" t="str">
        <f>TRIM(Indice2026!$H$3)</f>
        <v>Mujeres que quieren trabajar y no pueden</v>
      </c>
      <c r="C378" s="59">
        <f>Indice2026!H37</f>
        <v>28.730213090870301</v>
      </c>
      <c r="D378" t="str">
        <f>TRIM(Indice2026!$H$5)</f>
        <v>Porcentaje de trabajadoras potenciales desocupadas, subocupadas o disponibles pero no activas en la economía</v>
      </c>
      <c r="E378" t="str">
        <f>TRIM(Indice2026!$H$6)</f>
        <v>Porcentaje</v>
      </c>
      <c r="F378" t="s">
        <v>141</v>
      </c>
    </row>
    <row r="379" spans="1:6" x14ac:dyDescent="0.3">
      <c r="A379" t="s">
        <v>35</v>
      </c>
      <c r="B379" t="str">
        <f>TRIM(Indice2026!$H$3)</f>
        <v>Mujeres que quieren trabajar y no pueden</v>
      </c>
      <c r="C379" s="59">
        <f>Indice2026!H38</f>
        <v>15.032987952541458</v>
      </c>
      <c r="D379" t="str">
        <f>TRIM(Indice2026!$H$5)</f>
        <v>Porcentaje de trabajadoras potenciales desocupadas, subocupadas o disponibles pero no activas en la economía</v>
      </c>
      <c r="E379" t="str">
        <f>TRIM(Indice2026!$H$6)</f>
        <v>Porcentaje</v>
      </c>
      <c r="F379" t="s">
        <v>141</v>
      </c>
    </row>
    <row r="380" spans="1:6" x14ac:dyDescent="0.3">
      <c r="A380" t="s">
        <v>36</v>
      </c>
      <c r="B380" t="str">
        <f>TRIM(Indice2026!$H$3)</f>
        <v>Mujeres que quieren trabajar y no pueden</v>
      </c>
      <c r="C380" s="59">
        <f>Indice2026!H39</f>
        <v>29.546787233832518</v>
      </c>
      <c r="D380" t="str">
        <f>TRIM(Indice2026!$H$5)</f>
        <v>Porcentaje de trabajadoras potenciales desocupadas, subocupadas o disponibles pero no activas en la economía</v>
      </c>
      <c r="E380" t="str">
        <f>TRIM(Indice2026!$H$6)</f>
        <v>Porcentaje</v>
      </c>
      <c r="F380" t="s">
        <v>141</v>
      </c>
    </row>
    <row r="381" spans="1:6" x14ac:dyDescent="0.3">
      <c r="A381" t="s">
        <v>37</v>
      </c>
      <c r="B381" t="str">
        <f>TRIM(Indice2026!$H$3)</f>
        <v>Mujeres que quieren trabajar y no pueden</v>
      </c>
      <c r="C381" s="59">
        <f>Indice2026!H40</f>
        <v>16.991015312929211</v>
      </c>
      <c r="D381" t="str">
        <f>TRIM(Indice2026!$H$5)</f>
        <v>Porcentaje de trabajadoras potenciales desocupadas, subocupadas o disponibles pero no activas en la economía</v>
      </c>
      <c r="E381" t="str">
        <f>TRIM(Indice2026!$H$6)</f>
        <v>Porcentaje</v>
      </c>
      <c r="F381" t="s">
        <v>141</v>
      </c>
    </row>
    <row r="382" spans="1:6" x14ac:dyDescent="0.3">
      <c r="A382" t="s">
        <v>38</v>
      </c>
      <c r="B382" t="str">
        <f>TRIM(Indice2026!$H$3)</f>
        <v>Mujeres que quieren trabajar y no pueden</v>
      </c>
      <c r="C382" s="59">
        <f>Indice2026!H41</f>
        <v>25.548931428801168</v>
      </c>
      <c r="D382" t="str">
        <f>TRIM(Indice2026!$H$5)</f>
        <v>Porcentaje de trabajadoras potenciales desocupadas, subocupadas o disponibles pero no activas en la economía</v>
      </c>
      <c r="E382" t="str">
        <f>TRIM(Indice2026!$H$6)</f>
        <v>Porcentaje</v>
      </c>
      <c r="F382" t="s">
        <v>141</v>
      </c>
    </row>
    <row r="383" spans="1:6" x14ac:dyDescent="0.3">
      <c r="A383" t="s">
        <v>39</v>
      </c>
      <c r="B383" t="str">
        <f>TRIM(Indice2026!$H$3)</f>
        <v>Mujeres que quieren trabajar y no pueden</v>
      </c>
      <c r="C383" s="59">
        <f>Indice2026!H42</f>
        <v>27.184409103016201</v>
      </c>
      <c r="D383" t="str">
        <f>TRIM(Indice2026!$H$5)</f>
        <v>Porcentaje de trabajadoras potenciales desocupadas, subocupadas o disponibles pero no activas en la economía</v>
      </c>
      <c r="E383" t="str">
        <f>TRIM(Indice2026!$H$6)</f>
        <v>Porcentaje</v>
      </c>
      <c r="F383" t="s">
        <v>141</v>
      </c>
    </row>
    <row r="384" spans="1:6" x14ac:dyDescent="0.3">
      <c r="A384" t="s">
        <v>40</v>
      </c>
      <c r="B384" t="str">
        <f>TRIM(Indice2026!$H$3)</f>
        <v>Mujeres que quieren trabajar y no pueden</v>
      </c>
      <c r="C384" s="59">
        <f>Indice2026!H43</f>
        <v>16.746954809405118</v>
      </c>
      <c r="D384" t="str">
        <f>TRIM(Indice2026!$H$5)</f>
        <v>Porcentaje de trabajadoras potenciales desocupadas, subocupadas o disponibles pero no activas en la economía</v>
      </c>
      <c r="E384" t="str">
        <f>TRIM(Indice2026!$H$6)</f>
        <v>Porcentaje</v>
      </c>
      <c r="F384" t="s">
        <v>141</v>
      </c>
    </row>
    <row r="385" spans="1:6" x14ac:dyDescent="0.3">
      <c r="A385" t="s">
        <v>41</v>
      </c>
      <c r="B385" t="str">
        <f>TRIM(Indice2026!$H$3)</f>
        <v>Mujeres que quieren trabajar y no pueden</v>
      </c>
      <c r="C385" s="59">
        <f>Indice2026!H44</f>
        <v>21.820620411079531</v>
      </c>
      <c r="D385" t="str">
        <f>TRIM(Indice2026!$H$5)</f>
        <v>Porcentaje de trabajadoras potenciales desocupadas, subocupadas o disponibles pero no activas en la economía</v>
      </c>
      <c r="E385" t="str">
        <f>TRIM(Indice2026!$H$6)</f>
        <v>Porcentaje</v>
      </c>
      <c r="F385" t="s">
        <v>141</v>
      </c>
    </row>
    <row r="386" spans="1:6" x14ac:dyDescent="0.3">
      <c r="A386" t="s">
        <v>7</v>
      </c>
      <c r="B386" t="str">
        <f>TRIM(Indice2026!$L$3)</f>
        <v>Oferta de cuidados de adultos mayores</v>
      </c>
      <c r="C386" s="59">
        <f>Indice2026!L13</f>
        <v>21.446893203050607</v>
      </c>
      <c r="D386" t="str">
        <f>TRIM(Indice2026!$L$5)</f>
        <v>Unidades de cuidados para adultos mayores por cada 100 mil habitantes de 65 años y más</v>
      </c>
      <c r="E386" t="str">
        <f>TRIM(Indice2026!$L$6)</f>
        <v>Tasa</v>
      </c>
      <c r="F386" t="s">
        <v>145</v>
      </c>
    </row>
    <row r="387" spans="1:6" x14ac:dyDescent="0.3">
      <c r="A387" t="s">
        <v>12</v>
      </c>
      <c r="B387" t="str">
        <f>TRIM(Indice2026!$L$3)</f>
        <v>Oferta de cuidados de adultos mayores</v>
      </c>
      <c r="C387" s="59">
        <f>Indice2026!L14</f>
        <v>17.644579356495658</v>
      </c>
      <c r="D387" t="str">
        <f>TRIM(Indice2026!$L$5)</f>
        <v>Unidades de cuidados para adultos mayores por cada 100 mil habitantes de 65 años y más</v>
      </c>
      <c r="E387" t="str">
        <f>TRIM(Indice2026!$L$6)</f>
        <v>Tasa</v>
      </c>
      <c r="F387" t="s">
        <v>145</v>
      </c>
    </row>
    <row r="388" spans="1:6" x14ac:dyDescent="0.3">
      <c r="A388" t="s">
        <v>13</v>
      </c>
      <c r="B388" t="str">
        <f>TRIM(Indice2026!$L$3)</f>
        <v>Oferta de cuidados de adultos mayores</v>
      </c>
      <c r="C388" s="59">
        <f>Indice2026!L15</f>
        <v>6.465377901338333</v>
      </c>
      <c r="D388" t="str">
        <f>TRIM(Indice2026!$L$5)</f>
        <v>Unidades de cuidados para adultos mayores por cada 100 mil habitantes de 65 años y más</v>
      </c>
      <c r="E388" t="str">
        <f>TRIM(Indice2026!$L$6)</f>
        <v>Tasa</v>
      </c>
      <c r="F388" t="s">
        <v>145</v>
      </c>
    </row>
    <row r="389" spans="1:6" x14ac:dyDescent="0.3">
      <c r="A389" t="s">
        <v>14</v>
      </c>
      <c r="B389" t="str">
        <f>TRIM(Indice2026!$L$3)</f>
        <v>Oferta de cuidados de adultos mayores</v>
      </c>
      <c r="C389" s="59">
        <f>Indice2026!L16</f>
        <v>13.961694188127483</v>
      </c>
      <c r="D389" t="str">
        <f>TRIM(Indice2026!$L$5)</f>
        <v>Unidades de cuidados para adultos mayores por cada 100 mil habitantes de 65 años y más</v>
      </c>
      <c r="E389" t="str">
        <f>TRIM(Indice2026!$L$6)</f>
        <v>Tasa</v>
      </c>
      <c r="F389" t="s">
        <v>145</v>
      </c>
    </row>
    <row r="390" spans="1:6" x14ac:dyDescent="0.3">
      <c r="A390" t="s">
        <v>15</v>
      </c>
      <c r="B390" t="str">
        <f>TRIM(Indice2026!$L$3)</f>
        <v>Oferta de cuidados de adultos mayores</v>
      </c>
      <c r="C390" s="59">
        <f>Indice2026!L19</f>
        <v>3.9579298443741986</v>
      </c>
      <c r="D390" t="str">
        <f>TRIM(Indice2026!$L$5)</f>
        <v>Unidades de cuidados para adultos mayores por cada 100 mil habitantes de 65 años y más</v>
      </c>
      <c r="E390" t="str">
        <f>TRIM(Indice2026!$L$6)</f>
        <v>Tasa</v>
      </c>
      <c r="F390" t="s">
        <v>145</v>
      </c>
    </row>
    <row r="391" spans="1:6" x14ac:dyDescent="0.3">
      <c r="A391" t="s">
        <v>16</v>
      </c>
      <c r="B391" t="str">
        <f>TRIM(Indice2026!$L$3)</f>
        <v>Oferta de cuidados de adultos mayores</v>
      </c>
      <c r="C391" s="59">
        <f>Indice2026!L20</f>
        <v>26.214558800139024</v>
      </c>
      <c r="D391" t="str">
        <f>TRIM(Indice2026!$L$5)</f>
        <v>Unidades de cuidados para adultos mayores por cada 100 mil habitantes de 65 años y más</v>
      </c>
      <c r="E391" t="str">
        <f>TRIM(Indice2026!$L$6)</f>
        <v>Tasa</v>
      </c>
      <c r="F391" t="s">
        <v>145</v>
      </c>
    </row>
    <row r="392" spans="1:6" x14ac:dyDescent="0.3">
      <c r="A392" t="s">
        <v>17</v>
      </c>
      <c r="B392" t="str">
        <f>TRIM(Indice2026!$L$3)</f>
        <v>Oferta de cuidados de adultos mayores</v>
      </c>
      <c r="C392" s="59">
        <f>Indice2026!L21</f>
        <v>9.4862127905479028</v>
      </c>
      <c r="D392" t="str">
        <f>TRIM(Indice2026!$L$5)</f>
        <v>Unidades de cuidados para adultos mayores por cada 100 mil habitantes de 65 años y más</v>
      </c>
      <c r="E392" t="str">
        <f>TRIM(Indice2026!$L$6)</f>
        <v>Tasa</v>
      </c>
      <c r="F392" t="s">
        <v>145</v>
      </c>
    </row>
    <row r="393" spans="1:6" x14ac:dyDescent="0.3">
      <c r="A393" t="s">
        <v>18</v>
      </c>
      <c r="B393" t="str">
        <f>TRIM(Indice2026!$L$3)</f>
        <v>Oferta de cuidados de adultos mayores</v>
      </c>
      <c r="C393" s="59">
        <f>Indice2026!L17</f>
        <v>12.122119659582358</v>
      </c>
      <c r="D393" t="str">
        <f>TRIM(Indice2026!$L$5)</f>
        <v>Unidades de cuidados para adultos mayores por cada 100 mil habitantes de 65 años y más</v>
      </c>
      <c r="E393" t="str">
        <f>TRIM(Indice2026!$L$6)</f>
        <v>Tasa</v>
      </c>
      <c r="F393" t="s">
        <v>145</v>
      </c>
    </row>
    <row r="394" spans="1:6" x14ac:dyDescent="0.3">
      <c r="A394" t="s">
        <v>19</v>
      </c>
      <c r="B394" t="str">
        <f>TRIM(Indice2026!$L$3)</f>
        <v>Oferta de cuidados de adultos mayores</v>
      </c>
      <c r="C394" s="59">
        <f>Indice2026!L18</f>
        <v>31.672588063565506</v>
      </c>
      <c r="D394" t="str">
        <f>TRIM(Indice2026!$L$5)</f>
        <v>Unidades de cuidados para adultos mayores por cada 100 mil habitantes de 65 años y más</v>
      </c>
      <c r="E394" t="str">
        <f>TRIM(Indice2026!$L$6)</f>
        <v>Tasa</v>
      </c>
      <c r="F394" t="s">
        <v>145</v>
      </c>
    </row>
    <row r="395" spans="1:6" x14ac:dyDescent="0.3">
      <c r="A395" t="s">
        <v>20</v>
      </c>
      <c r="B395" t="str">
        <f>TRIM(Indice2026!$L$3)</f>
        <v>Oferta de cuidados de adultos mayores</v>
      </c>
      <c r="C395" s="59">
        <f>Indice2026!L22</f>
        <v>12.816991668955415</v>
      </c>
      <c r="D395" t="str">
        <f>TRIM(Indice2026!$L$5)</f>
        <v>Unidades de cuidados para adultos mayores por cada 100 mil habitantes de 65 años y más</v>
      </c>
      <c r="E395" t="str">
        <f>TRIM(Indice2026!$L$6)</f>
        <v>Tasa</v>
      </c>
      <c r="F395" t="s">
        <v>145</v>
      </c>
    </row>
    <row r="396" spans="1:6" x14ac:dyDescent="0.3">
      <c r="A396" t="s">
        <v>21</v>
      </c>
      <c r="B396" t="str">
        <f>TRIM(Indice2026!$L$3)</f>
        <v>Oferta de cuidados de adultos mayores</v>
      </c>
      <c r="C396" s="59">
        <f>Indice2026!L23</f>
        <v>11.807380968050389</v>
      </c>
      <c r="D396" t="str">
        <f>TRIM(Indice2026!$L$5)</f>
        <v>Unidades de cuidados para adultos mayores por cada 100 mil habitantes de 65 años y más</v>
      </c>
      <c r="E396" t="str">
        <f>TRIM(Indice2026!$L$6)</f>
        <v>Tasa</v>
      </c>
      <c r="F396" t="s">
        <v>145</v>
      </c>
    </row>
    <row r="397" spans="1:6" x14ac:dyDescent="0.3">
      <c r="A397" t="s">
        <v>22</v>
      </c>
      <c r="B397" t="str">
        <f>TRIM(Indice2026!$L$3)</f>
        <v>Oferta de cuidados de adultos mayores</v>
      </c>
      <c r="C397" s="59">
        <f>Indice2026!L24</f>
        <v>4.601255222424677</v>
      </c>
      <c r="D397" t="str">
        <f>TRIM(Indice2026!$L$5)</f>
        <v>Unidades de cuidados para adultos mayores por cada 100 mil habitantes de 65 años y más</v>
      </c>
      <c r="E397" t="str">
        <f>TRIM(Indice2026!$L$6)</f>
        <v>Tasa</v>
      </c>
      <c r="F397" t="s">
        <v>145</v>
      </c>
    </row>
    <row r="398" spans="1:6" x14ac:dyDescent="0.3">
      <c r="A398" t="s">
        <v>23</v>
      </c>
      <c r="B398" t="str">
        <f>TRIM(Indice2026!$L$3)</f>
        <v>Oferta de cuidados de adultos mayores</v>
      </c>
      <c r="C398" s="59">
        <f>Indice2026!L25</f>
        <v>4.0446938672329233</v>
      </c>
      <c r="D398" t="str">
        <f>TRIM(Indice2026!$L$5)</f>
        <v>Unidades de cuidados para adultos mayores por cada 100 mil habitantes de 65 años y más</v>
      </c>
      <c r="E398" t="str">
        <f>TRIM(Indice2026!$L$6)</f>
        <v>Tasa</v>
      </c>
      <c r="F398" t="s">
        <v>145</v>
      </c>
    </row>
    <row r="399" spans="1:6" x14ac:dyDescent="0.3">
      <c r="A399" t="s">
        <v>24</v>
      </c>
      <c r="B399" t="str">
        <f>TRIM(Indice2026!$L$3)</f>
        <v>Oferta de cuidados de adultos mayores</v>
      </c>
      <c r="C399" s="59">
        <f>Indice2026!L26</f>
        <v>19.435202778211092</v>
      </c>
      <c r="D399" t="str">
        <f>TRIM(Indice2026!$L$5)</f>
        <v>Unidades de cuidados para adultos mayores por cada 100 mil habitantes de 65 años y más</v>
      </c>
      <c r="E399" t="str">
        <f>TRIM(Indice2026!$L$6)</f>
        <v>Tasa</v>
      </c>
      <c r="F399" t="s">
        <v>145</v>
      </c>
    </row>
    <row r="400" spans="1:6" x14ac:dyDescent="0.3">
      <c r="A400" t="s">
        <v>25</v>
      </c>
      <c r="B400" t="str">
        <f>TRIM(Indice2026!$L$3)</f>
        <v>Oferta de cuidados de adultos mayores</v>
      </c>
      <c r="C400" s="59">
        <f>Indice2026!L28</f>
        <v>11.769330014234228</v>
      </c>
      <c r="D400" t="str">
        <f>TRIM(Indice2026!$L$5)</f>
        <v>Unidades de cuidados para adultos mayores por cada 100 mil habitantes de 65 años y más</v>
      </c>
      <c r="E400" t="str">
        <f>TRIM(Indice2026!$L$6)</f>
        <v>Tasa</v>
      </c>
      <c r="F400" t="s">
        <v>145</v>
      </c>
    </row>
    <row r="401" spans="1:6" x14ac:dyDescent="0.3">
      <c r="A401" t="s">
        <v>26</v>
      </c>
      <c r="B401" t="str">
        <f>TRIM(Indice2026!$L$3)</f>
        <v>Oferta de cuidados de adultos mayores</v>
      </c>
      <c r="C401" s="59">
        <f>Indice2026!L29</f>
        <v>20.413879539121062</v>
      </c>
      <c r="D401" t="str">
        <f>TRIM(Indice2026!$L$5)</f>
        <v>Unidades de cuidados para adultos mayores por cada 100 mil habitantes de 65 años y más</v>
      </c>
      <c r="E401" t="str">
        <f>TRIM(Indice2026!$L$6)</f>
        <v>Tasa</v>
      </c>
      <c r="F401" t="s">
        <v>145</v>
      </c>
    </row>
    <row r="402" spans="1:6" x14ac:dyDescent="0.3">
      <c r="A402" t="s">
        <v>0</v>
      </c>
      <c r="B402" t="str">
        <f>TRIM(Indice2026!$L$3)</f>
        <v>Oferta de cuidados de adultos mayores</v>
      </c>
      <c r="C402" s="59">
        <f>Indice2026!L27</f>
        <v>6.3021878756747736</v>
      </c>
      <c r="D402" t="str">
        <f>TRIM(Indice2026!$L$5)</f>
        <v>Unidades de cuidados para adultos mayores por cada 100 mil habitantes de 65 años y más</v>
      </c>
      <c r="E402" t="str">
        <f>TRIM(Indice2026!$L$6)</f>
        <v>Tasa</v>
      </c>
      <c r="F402" t="s">
        <v>145</v>
      </c>
    </row>
    <row r="403" spans="1:6" x14ac:dyDescent="0.3">
      <c r="A403" t="s">
        <v>27</v>
      </c>
      <c r="B403" t="str">
        <f>TRIM(Indice2026!$L$3)</f>
        <v>Oferta de cuidados de adultos mayores</v>
      </c>
      <c r="C403" s="59">
        <f>Indice2026!L30</f>
        <v>18.665498044180424</v>
      </c>
      <c r="D403" t="str">
        <f>TRIM(Indice2026!$L$5)</f>
        <v>Unidades de cuidados para adultos mayores por cada 100 mil habitantes de 65 años y más</v>
      </c>
      <c r="E403" t="str">
        <f>TRIM(Indice2026!$L$6)</f>
        <v>Tasa</v>
      </c>
      <c r="F403" t="s">
        <v>145</v>
      </c>
    </row>
    <row r="404" spans="1:6" x14ac:dyDescent="0.3">
      <c r="A404" t="s">
        <v>28</v>
      </c>
      <c r="B404" t="str">
        <f>TRIM(Indice2026!$L$3)</f>
        <v>Oferta de cuidados de adultos mayores</v>
      </c>
      <c r="C404" s="59">
        <f>Indice2026!L31</f>
        <v>20.225084397197975</v>
      </c>
      <c r="D404" t="str">
        <f>TRIM(Indice2026!$L$5)</f>
        <v>Unidades de cuidados para adultos mayores por cada 100 mil habitantes de 65 años y más</v>
      </c>
      <c r="E404" t="str">
        <f>TRIM(Indice2026!$L$6)</f>
        <v>Tasa</v>
      </c>
      <c r="F404" t="s">
        <v>145</v>
      </c>
    </row>
    <row r="405" spans="1:6" x14ac:dyDescent="0.3">
      <c r="A405" t="s">
        <v>29</v>
      </c>
      <c r="B405" t="str">
        <f>TRIM(Indice2026!$L$3)</f>
        <v>Oferta de cuidados de adultos mayores</v>
      </c>
      <c r="C405" s="59">
        <f>Indice2026!L32</f>
        <v>6.1405297066546156</v>
      </c>
      <c r="D405" t="str">
        <f>TRIM(Indice2026!$L$5)</f>
        <v>Unidades de cuidados para adultos mayores por cada 100 mil habitantes de 65 años y más</v>
      </c>
      <c r="E405" t="str">
        <f>TRIM(Indice2026!$L$6)</f>
        <v>Tasa</v>
      </c>
      <c r="F405" t="s">
        <v>145</v>
      </c>
    </row>
    <row r="406" spans="1:6" x14ac:dyDescent="0.3">
      <c r="A406" t="s">
        <v>30</v>
      </c>
      <c r="B406" t="str">
        <f>TRIM(Indice2026!$L$3)</f>
        <v>Oferta de cuidados de adultos mayores</v>
      </c>
      <c r="C406" s="59">
        <f>Indice2026!L33</f>
        <v>9.5298202460132089</v>
      </c>
      <c r="D406" t="str">
        <f>TRIM(Indice2026!$L$5)</f>
        <v>Unidades de cuidados para adultos mayores por cada 100 mil habitantes de 65 años y más</v>
      </c>
      <c r="E406" t="str">
        <f>TRIM(Indice2026!$L$6)</f>
        <v>Tasa</v>
      </c>
      <c r="F406" t="s">
        <v>145</v>
      </c>
    </row>
    <row r="407" spans="1:6" x14ac:dyDescent="0.3">
      <c r="A407" t="s">
        <v>31</v>
      </c>
      <c r="B407" t="str">
        <f>TRIM(Indice2026!$L$3)</f>
        <v>Oferta de cuidados de adultos mayores</v>
      </c>
      <c r="C407" s="59">
        <f>Indice2026!L34</f>
        <v>8.6983662421522823</v>
      </c>
      <c r="D407" t="str">
        <f>TRIM(Indice2026!$L$5)</f>
        <v>Unidades de cuidados para adultos mayores por cada 100 mil habitantes de 65 años y más</v>
      </c>
      <c r="E407" t="str">
        <f>TRIM(Indice2026!$L$6)</f>
        <v>Tasa</v>
      </c>
      <c r="F407" t="s">
        <v>145</v>
      </c>
    </row>
    <row r="408" spans="1:6" x14ac:dyDescent="0.3">
      <c r="A408" t="s">
        <v>32</v>
      </c>
      <c r="B408" t="str">
        <f>TRIM(Indice2026!$L$3)</f>
        <v>Oferta de cuidados de adultos mayores</v>
      </c>
      <c r="C408" s="59">
        <f>Indice2026!L35</f>
        <v>5.5975893048727015</v>
      </c>
      <c r="D408" t="str">
        <f>TRIM(Indice2026!$L$5)</f>
        <v>Unidades de cuidados para adultos mayores por cada 100 mil habitantes de 65 años y más</v>
      </c>
      <c r="E408" t="str">
        <f>TRIM(Indice2026!$L$6)</f>
        <v>Tasa</v>
      </c>
      <c r="F408" t="s">
        <v>145</v>
      </c>
    </row>
    <row r="409" spans="1:6" x14ac:dyDescent="0.3">
      <c r="A409" t="s">
        <v>33</v>
      </c>
      <c r="B409" t="str">
        <f>TRIM(Indice2026!$L$3)</f>
        <v>Oferta de cuidados de adultos mayores</v>
      </c>
      <c r="C409" s="59">
        <f>Indice2026!L36</f>
        <v>15.249381855414075</v>
      </c>
      <c r="D409" t="str">
        <f>TRIM(Indice2026!$L$5)</f>
        <v>Unidades de cuidados para adultos mayores por cada 100 mil habitantes de 65 años y más</v>
      </c>
      <c r="E409" t="str">
        <f>TRIM(Indice2026!$L$6)</f>
        <v>Tasa</v>
      </c>
      <c r="F409" t="s">
        <v>145</v>
      </c>
    </row>
    <row r="410" spans="1:6" x14ac:dyDescent="0.3">
      <c r="A410" t="s">
        <v>34</v>
      </c>
      <c r="B410" t="str">
        <f>TRIM(Indice2026!$L$3)</f>
        <v>Oferta de cuidados de adultos mayores</v>
      </c>
      <c r="C410" s="59">
        <f>Indice2026!L37</f>
        <v>9.3628424298190396</v>
      </c>
      <c r="D410" t="str">
        <f>TRIM(Indice2026!$L$5)</f>
        <v>Unidades de cuidados para adultos mayores por cada 100 mil habitantes de 65 años y más</v>
      </c>
      <c r="E410" t="str">
        <f>TRIM(Indice2026!$L$6)</f>
        <v>Tasa</v>
      </c>
      <c r="F410" t="s">
        <v>145</v>
      </c>
    </row>
    <row r="411" spans="1:6" x14ac:dyDescent="0.3">
      <c r="A411" t="s">
        <v>35</v>
      </c>
      <c r="B411" t="str">
        <f>TRIM(Indice2026!$L$3)</f>
        <v>Oferta de cuidados de adultos mayores</v>
      </c>
      <c r="C411" s="59">
        <f>Indice2026!L38</f>
        <v>19.442419192445229</v>
      </c>
      <c r="D411" t="str">
        <f>TRIM(Indice2026!$L$5)</f>
        <v>Unidades de cuidados para adultos mayores por cada 100 mil habitantes de 65 años y más</v>
      </c>
      <c r="E411" t="str">
        <f>TRIM(Indice2026!$L$6)</f>
        <v>Tasa</v>
      </c>
      <c r="F411" t="s">
        <v>145</v>
      </c>
    </row>
    <row r="412" spans="1:6" x14ac:dyDescent="0.3">
      <c r="A412" t="s">
        <v>36</v>
      </c>
      <c r="B412" t="str">
        <f>TRIM(Indice2026!$L$3)</f>
        <v>Oferta de cuidados de adultos mayores</v>
      </c>
      <c r="C412" s="59">
        <f>Indice2026!L39</f>
        <v>2.5650496593614052</v>
      </c>
      <c r="D412" t="str">
        <f>TRIM(Indice2026!$L$5)</f>
        <v>Unidades de cuidados para adultos mayores por cada 100 mil habitantes de 65 años y más</v>
      </c>
      <c r="E412" t="str">
        <f>TRIM(Indice2026!$L$6)</f>
        <v>Tasa</v>
      </c>
      <c r="F412" t="s">
        <v>145</v>
      </c>
    </row>
    <row r="413" spans="1:6" x14ac:dyDescent="0.3">
      <c r="A413" t="s">
        <v>37</v>
      </c>
      <c r="B413" t="str">
        <f>TRIM(Indice2026!$L$3)</f>
        <v>Oferta de cuidados de adultos mayores</v>
      </c>
      <c r="C413" s="59">
        <f>Indice2026!L40</f>
        <v>8.5229443539902086</v>
      </c>
      <c r="D413" t="str">
        <f>TRIM(Indice2026!$L$5)</f>
        <v>Unidades de cuidados para adultos mayores por cada 100 mil habitantes de 65 años y más</v>
      </c>
      <c r="E413" t="str">
        <f>TRIM(Indice2026!$L$6)</f>
        <v>Tasa</v>
      </c>
      <c r="F413" t="s">
        <v>145</v>
      </c>
    </row>
    <row r="414" spans="1:6" x14ac:dyDescent="0.3">
      <c r="A414" t="s">
        <v>38</v>
      </c>
      <c r="B414" t="str">
        <f>TRIM(Indice2026!$L$3)</f>
        <v>Oferta de cuidados de adultos mayores</v>
      </c>
      <c r="C414" s="59">
        <f>Indice2026!L41</f>
        <v>6.351510752200344</v>
      </c>
      <c r="D414" t="str">
        <f>TRIM(Indice2026!$L$5)</f>
        <v>Unidades de cuidados para adultos mayores por cada 100 mil habitantes de 65 años y más</v>
      </c>
      <c r="E414" t="str">
        <f>TRIM(Indice2026!$L$6)</f>
        <v>Tasa</v>
      </c>
      <c r="F414" t="s">
        <v>145</v>
      </c>
    </row>
    <row r="415" spans="1:6" x14ac:dyDescent="0.3">
      <c r="A415" t="s">
        <v>39</v>
      </c>
      <c r="B415" t="str">
        <f>TRIM(Indice2026!$L$3)</f>
        <v>Oferta de cuidados de adultos mayores</v>
      </c>
      <c r="C415" s="59">
        <f>Indice2026!L42</f>
        <v>5.0168291815271226</v>
      </c>
      <c r="D415" t="str">
        <f>TRIM(Indice2026!$L$5)</f>
        <v>Unidades de cuidados para adultos mayores por cada 100 mil habitantes de 65 años y más</v>
      </c>
      <c r="E415" t="str">
        <f>TRIM(Indice2026!$L$6)</f>
        <v>Tasa</v>
      </c>
      <c r="F415" t="s">
        <v>145</v>
      </c>
    </row>
    <row r="416" spans="1:6" x14ac:dyDescent="0.3">
      <c r="A416" t="s">
        <v>40</v>
      </c>
      <c r="B416" t="str">
        <f>TRIM(Indice2026!$L$3)</f>
        <v>Oferta de cuidados de adultos mayores</v>
      </c>
      <c r="C416" s="59">
        <f>Indice2026!L43</f>
        <v>20.887728459530027</v>
      </c>
      <c r="D416" t="str">
        <f>TRIM(Indice2026!$L$5)</f>
        <v>Unidades de cuidados para adultos mayores por cada 100 mil habitantes de 65 años y más</v>
      </c>
      <c r="E416" t="str">
        <f>TRIM(Indice2026!$L$6)</f>
        <v>Tasa</v>
      </c>
      <c r="F416" t="s">
        <v>145</v>
      </c>
    </row>
    <row r="417" spans="1:6" x14ac:dyDescent="0.3">
      <c r="A417" t="s">
        <v>41</v>
      </c>
      <c r="B417" t="str">
        <f>TRIM(Indice2026!$L$3)</f>
        <v>Oferta de cuidados de adultos mayores</v>
      </c>
      <c r="C417" s="59">
        <f>Indice2026!L44</f>
        <v>13.411927226882867</v>
      </c>
      <c r="D417" t="str">
        <f>TRIM(Indice2026!$L$5)</f>
        <v>Unidades de cuidados para adultos mayores por cada 100 mil habitantes de 65 años y más</v>
      </c>
      <c r="E417" t="str">
        <f>TRIM(Indice2026!$L$6)</f>
        <v>Tasa</v>
      </c>
      <c r="F417" t="s">
        <v>145</v>
      </c>
    </row>
    <row r="418" spans="1:6" x14ac:dyDescent="0.3">
      <c r="A418" t="s">
        <v>7</v>
      </c>
      <c r="B418" t="str">
        <f>TRIM(Indice2026!$M$3)</f>
        <v>Permisos de paternidad</v>
      </c>
      <c r="C418" s="59">
        <f>Indice2026!M13</f>
        <v>10</v>
      </c>
      <c r="D418" t="str">
        <f>TRIM(Indice2026!$M$5)</f>
        <v>Días de permiso de paternidad remunerados para los trabajadores del gobierno del Estado</v>
      </c>
      <c r="E418" t="str">
        <f>TRIM(Indice2026!$M$6)</f>
        <v>Días</v>
      </c>
      <c r="F418" t="s">
        <v>146</v>
      </c>
    </row>
    <row r="419" spans="1:6" x14ac:dyDescent="0.3">
      <c r="A419" t="s">
        <v>12</v>
      </c>
      <c r="B419" t="str">
        <f>TRIM(Indice2026!$M$3)</f>
        <v>Permisos de paternidad</v>
      </c>
      <c r="C419" s="59">
        <f>Indice2026!M14</f>
        <v>5</v>
      </c>
      <c r="D419" t="str">
        <f>TRIM(Indice2026!$M$5)</f>
        <v>Días de permiso de paternidad remunerados para los trabajadores del gobierno del Estado</v>
      </c>
      <c r="E419" t="str">
        <f>TRIM(Indice2026!$M$6)</f>
        <v>Días</v>
      </c>
      <c r="F419" t="s">
        <v>146</v>
      </c>
    </row>
    <row r="420" spans="1:6" x14ac:dyDescent="0.3">
      <c r="A420" t="s">
        <v>13</v>
      </c>
      <c r="B420" t="str">
        <f>TRIM(Indice2026!$M$3)</f>
        <v>Permisos de paternidad</v>
      </c>
      <c r="C420" s="59">
        <f>Indice2026!M15</f>
        <v>84</v>
      </c>
      <c r="D420" t="str">
        <f>TRIM(Indice2026!$M$5)</f>
        <v>Días de permiso de paternidad remunerados para los trabajadores del gobierno del Estado</v>
      </c>
      <c r="E420" t="str">
        <f>TRIM(Indice2026!$M$6)</f>
        <v>Días</v>
      </c>
      <c r="F420" t="s">
        <v>146</v>
      </c>
    </row>
    <row r="421" spans="1:6" x14ac:dyDescent="0.3">
      <c r="A421" t="s">
        <v>14</v>
      </c>
      <c r="B421" t="str">
        <f>TRIM(Indice2026!$M$3)</f>
        <v>Permisos de paternidad</v>
      </c>
      <c r="C421" s="59">
        <f>Indice2026!M16</f>
        <v>15</v>
      </c>
      <c r="D421" t="str">
        <f>TRIM(Indice2026!$M$5)</f>
        <v>Días de permiso de paternidad remunerados para los trabajadores del gobierno del Estado</v>
      </c>
      <c r="E421" t="str">
        <f>TRIM(Indice2026!$M$6)</f>
        <v>Días</v>
      </c>
      <c r="F421" t="s">
        <v>146</v>
      </c>
    </row>
    <row r="422" spans="1:6" x14ac:dyDescent="0.3">
      <c r="A422" t="s">
        <v>15</v>
      </c>
      <c r="B422" t="str">
        <f>TRIM(Indice2026!$M$3)</f>
        <v>Permisos de paternidad</v>
      </c>
      <c r="C422" s="59">
        <f>Indice2026!M19</f>
        <v>30</v>
      </c>
      <c r="D422" t="str">
        <f>TRIM(Indice2026!$M$5)</f>
        <v>Días de permiso de paternidad remunerados para los trabajadores del gobierno del Estado</v>
      </c>
      <c r="E422" t="str">
        <f>TRIM(Indice2026!$M$6)</f>
        <v>Días</v>
      </c>
      <c r="F422" t="s">
        <v>146</v>
      </c>
    </row>
    <row r="423" spans="1:6" x14ac:dyDescent="0.3">
      <c r="A423" t="s">
        <v>16</v>
      </c>
      <c r="B423" t="str">
        <f>TRIM(Indice2026!$M$3)</f>
        <v>Permisos de paternidad</v>
      </c>
      <c r="C423" s="59">
        <f>Indice2026!M20</f>
        <v>5</v>
      </c>
      <c r="D423" t="str">
        <f>TRIM(Indice2026!$M$5)</f>
        <v>Días de permiso de paternidad remunerados para los trabajadores del gobierno del Estado</v>
      </c>
      <c r="E423" t="str">
        <f>TRIM(Indice2026!$M$6)</f>
        <v>Días</v>
      </c>
      <c r="F423" t="s">
        <v>146</v>
      </c>
    </row>
    <row r="424" spans="1:6" x14ac:dyDescent="0.3">
      <c r="A424" t="s">
        <v>17</v>
      </c>
      <c r="B424" t="str">
        <f>TRIM(Indice2026!$M$3)</f>
        <v>Permisos de paternidad</v>
      </c>
      <c r="C424" s="59">
        <f>Indice2026!M21</f>
        <v>42</v>
      </c>
      <c r="D424" t="str">
        <f>TRIM(Indice2026!$M$5)</f>
        <v>Días de permiso de paternidad remunerados para los trabajadores del gobierno del Estado</v>
      </c>
      <c r="E424" t="str">
        <f>TRIM(Indice2026!$M$6)</f>
        <v>Días</v>
      </c>
      <c r="F424" t="s">
        <v>146</v>
      </c>
    </row>
    <row r="425" spans="1:6" x14ac:dyDescent="0.3">
      <c r="A425" t="s">
        <v>18</v>
      </c>
      <c r="B425" t="str">
        <f>TRIM(Indice2026!$M$3)</f>
        <v>Permisos de paternidad</v>
      </c>
      <c r="C425" s="59">
        <f>Indice2026!M17</f>
        <v>10</v>
      </c>
      <c r="D425" t="str">
        <f>TRIM(Indice2026!$M$5)</f>
        <v>Días de permiso de paternidad remunerados para los trabajadores del gobierno del Estado</v>
      </c>
      <c r="E425" t="str">
        <f>TRIM(Indice2026!$M$6)</f>
        <v>Días</v>
      </c>
      <c r="F425" t="s">
        <v>146</v>
      </c>
    </row>
    <row r="426" spans="1:6" x14ac:dyDescent="0.3">
      <c r="A426" t="s">
        <v>19</v>
      </c>
      <c r="B426" t="str">
        <f>TRIM(Indice2026!$M$3)</f>
        <v>Permisos de paternidad</v>
      </c>
      <c r="C426" s="59">
        <f>Indice2026!M18</f>
        <v>20</v>
      </c>
      <c r="D426" t="str">
        <f>TRIM(Indice2026!$M$5)</f>
        <v>Días de permiso de paternidad remunerados para los trabajadores del gobierno del Estado</v>
      </c>
      <c r="E426" t="str">
        <f>TRIM(Indice2026!$M$6)</f>
        <v>Días</v>
      </c>
      <c r="F426" t="s">
        <v>146</v>
      </c>
    </row>
    <row r="427" spans="1:6" x14ac:dyDescent="0.3">
      <c r="A427" t="s">
        <v>20</v>
      </c>
      <c r="B427" t="str">
        <f>TRIM(Indice2026!$M$3)</f>
        <v>Permisos de paternidad</v>
      </c>
      <c r="C427" s="59">
        <f>Indice2026!M22</f>
        <v>5</v>
      </c>
      <c r="D427" t="str">
        <f>TRIM(Indice2026!$M$5)</f>
        <v>Días de permiso de paternidad remunerados para los trabajadores del gobierno del Estado</v>
      </c>
      <c r="E427" t="str">
        <f>TRIM(Indice2026!$M$6)</f>
        <v>Días</v>
      </c>
      <c r="F427" t="s">
        <v>146</v>
      </c>
    </row>
    <row r="428" spans="1:6" x14ac:dyDescent="0.3">
      <c r="A428" t="s">
        <v>21</v>
      </c>
      <c r="B428" t="str">
        <f>TRIM(Indice2026!$M$3)</f>
        <v>Permisos de paternidad</v>
      </c>
      <c r="C428" s="59">
        <f>Indice2026!M23</f>
        <v>5</v>
      </c>
      <c r="D428" t="str">
        <f>TRIM(Indice2026!$M$5)</f>
        <v>Días de permiso de paternidad remunerados para los trabajadores del gobierno del Estado</v>
      </c>
      <c r="E428" t="str">
        <f>TRIM(Indice2026!$M$6)</f>
        <v>Días</v>
      </c>
      <c r="F428" t="s">
        <v>146</v>
      </c>
    </row>
    <row r="429" spans="1:6" x14ac:dyDescent="0.3">
      <c r="A429" t="s">
        <v>22</v>
      </c>
      <c r="B429" t="str">
        <f>TRIM(Indice2026!$M$3)</f>
        <v>Permisos de paternidad</v>
      </c>
      <c r="C429" s="59">
        <f>Indice2026!M24</f>
        <v>30</v>
      </c>
      <c r="D429" t="str">
        <f>TRIM(Indice2026!$M$5)</f>
        <v>Días de permiso de paternidad remunerados para los trabajadores del gobierno del Estado</v>
      </c>
      <c r="E429" t="str">
        <f>TRIM(Indice2026!$M$6)</f>
        <v>Días</v>
      </c>
      <c r="F429" t="s">
        <v>146</v>
      </c>
    </row>
    <row r="430" spans="1:6" x14ac:dyDescent="0.3">
      <c r="A430" t="s">
        <v>23</v>
      </c>
      <c r="B430" t="str">
        <f>TRIM(Indice2026!$M$3)</f>
        <v>Permisos de paternidad</v>
      </c>
      <c r="C430" s="59">
        <f>Indice2026!M25</f>
        <v>56</v>
      </c>
      <c r="D430" t="str">
        <f>TRIM(Indice2026!$M$5)</f>
        <v>Días de permiso de paternidad remunerados para los trabajadores del gobierno del Estado</v>
      </c>
      <c r="E430" t="str">
        <f>TRIM(Indice2026!$M$6)</f>
        <v>Días</v>
      </c>
      <c r="F430" t="s">
        <v>146</v>
      </c>
    </row>
    <row r="431" spans="1:6" x14ac:dyDescent="0.3">
      <c r="A431" t="s">
        <v>24</v>
      </c>
      <c r="B431" t="str">
        <f>TRIM(Indice2026!$M$3)</f>
        <v>Permisos de paternidad</v>
      </c>
      <c r="C431" s="59">
        <f>Indice2026!M26</f>
        <v>15</v>
      </c>
      <c r="D431" t="str">
        <f>TRIM(Indice2026!$M$5)</f>
        <v>Días de permiso de paternidad remunerados para los trabajadores del gobierno del Estado</v>
      </c>
      <c r="E431" t="str">
        <f>TRIM(Indice2026!$M$6)</f>
        <v>Días</v>
      </c>
      <c r="F431" t="s">
        <v>146</v>
      </c>
    </row>
    <row r="432" spans="1:6" x14ac:dyDescent="0.3">
      <c r="A432" t="s">
        <v>25</v>
      </c>
      <c r="B432" t="str">
        <f>TRIM(Indice2026!$M$3)</f>
        <v>Permisos de paternidad</v>
      </c>
      <c r="C432" s="59">
        <f>Indice2026!M28</f>
        <v>20</v>
      </c>
      <c r="D432" t="str">
        <f>TRIM(Indice2026!$M$5)</f>
        <v>Días de permiso de paternidad remunerados para los trabajadores del gobierno del Estado</v>
      </c>
      <c r="E432" t="str">
        <f>TRIM(Indice2026!$M$6)</f>
        <v>Días</v>
      </c>
      <c r="F432" t="s">
        <v>146</v>
      </c>
    </row>
    <row r="433" spans="1:6" x14ac:dyDescent="0.3">
      <c r="A433" t="s">
        <v>26</v>
      </c>
      <c r="B433" t="str">
        <f>TRIM(Indice2026!$M$3)</f>
        <v>Permisos de paternidad</v>
      </c>
      <c r="C433" s="59">
        <f>Indice2026!M29</f>
        <v>15</v>
      </c>
      <c r="D433" t="str">
        <f>TRIM(Indice2026!$M$5)</f>
        <v>Días de permiso de paternidad remunerados para los trabajadores del gobierno del Estado</v>
      </c>
      <c r="E433" t="str">
        <f>TRIM(Indice2026!$M$6)</f>
        <v>Días</v>
      </c>
      <c r="F433" t="s">
        <v>146</v>
      </c>
    </row>
    <row r="434" spans="1:6" x14ac:dyDescent="0.3">
      <c r="A434" t="s">
        <v>0</v>
      </c>
      <c r="B434" t="str">
        <f>TRIM(Indice2026!$M$3)</f>
        <v>Permisos de paternidad</v>
      </c>
      <c r="C434" s="59">
        <f>Indice2026!M27</f>
        <v>45</v>
      </c>
      <c r="D434" t="str">
        <f>TRIM(Indice2026!$M$5)</f>
        <v>Días de permiso de paternidad remunerados para los trabajadores del gobierno del Estado</v>
      </c>
      <c r="E434" t="str">
        <f>TRIM(Indice2026!$M$6)</f>
        <v>Días</v>
      </c>
      <c r="F434" t="s">
        <v>146</v>
      </c>
    </row>
    <row r="435" spans="1:6" x14ac:dyDescent="0.3">
      <c r="A435" t="s">
        <v>27</v>
      </c>
      <c r="B435" t="str">
        <f>TRIM(Indice2026!$M$3)</f>
        <v>Permisos de paternidad</v>
      </c>
      <c r="C435" s="59">
        <f>Indice2026!M30</f>
        <v>15</v>
      </c>
      <c r="D435" t="str">
        <f>TRIM(Indice2026!$M$5)</f>
        <v>Días de permiso de paternidad remunerados para los trabajadores del gobierno del Estado</v>
      </c>
      <c r="E435" t="str">
        <f>TRIM(Indice2026!$M$6)</f>
        <v>Días</v>
      </c>
      <c r="F435" t="s">
        <v>146</v>
      </c>
    </row>
    <row r="436" spans="1:6" x14ac:dyDescent="0.3">
      <c r="A436" t="s">
        <v>28</v>
      </c>
      <c r="B436" t="str">
        <f>TRIM(Indice2026!$M$3)</f>
        <v>Permisos de paternidad</v>
      </c>
      <c r="C436" s="59">
        <f>Indice2026!M31</f>
        <v>60</v>
      </c>
      <c r="D436" t="str">
        <f>TRIM(Indice2026!$M$5)</f>
        <v>Días de permiso de paternidad remunerados para los trabajadores del gobierno del Estado</v>
      </c>
      <c r="E436" t="str">
        <f>TRIM(Indice2026!$M$6)</f>
        <v>Días</v>
      </c>
      <c r="F436" t="s">
        <v>146</v>
      </c>
    </row>
    <row r="437" spans="1:6" x14ac:dyDescent="0.3">
      <c r="A437" t="s">
        <v>29</v>
      </c>
      <c r="B437" t="str">
        <f>TRIM(Indice2026!$M$3)</f>
        <v>Permisos de paternidad</v>
      </c>
      <c r="C437" s="59">
        <f>Indice2026!M32</f>
        <v>5</v>
      </c>
      <c r="D437" t="str">
        <f>TRIM(Indice2026!$M$5)</f>
        <v>Días de permiso de paternidad remunerados para los trabajadores del gobierno del Estado</v>
      </c>
      <c r="E437" t="str">
        <f>TRIM(Indice2026!$M$6)</f>
        <v>Días</v>
      </c>
      <c r="F437" t="s">
        <v>146</v>
      </c>
    </row>
    <row r="438" spans="1:6" x14ac:dyDescent="0.3">
      <c r="A438" t="s">
        <v>30</v>
      </c>
      <c r="B438" t="str">
        <f>TRIM(Indice2026!$M$3)</f>
        <v>Permisos de paternidad</v>
      </c>
      <c r="C438" s="59">
        <f>Indice2026!M33</f>
        <v>10</v>
      </c>
      <c r="D438" t="str">
        <f>TRIM(Indice2026!$M$5)</f>
        <v>Días de permiso de paternidad remunerados para los trabajadores del gobierno del Estado</v>
      </c>
      <c r="E438" t="str">
        <f>TRIM(Indice2026!$M$6)</f>
        <v>Días</v>
      </c>
      <c r="F438" t="s">
        <v>146</v>
      </c>
    </row>
    <row r="439" spans="1:6" x14ac:dyDescent="0.3">
      <c r="A439" t="s">
        <v>31</v>
      </c>
      <c r="B439" t="str">
        <f>TRIM(Indice2026!$M$3)</f>
        <v>Permisos de paternidad</v>
      </c>
      <c r="C439" s="59">
        <f>Indice2026!M34</f>
        <v>20</v>
      </c>
      <c r="D439" t="str">
        <f>TRIM(Indice2026!$M$5)</f>
        <v>Días de permiso de paternidad remunerados para los trabajadores del gobierno del Estado</v>
      </c>
      <c r="E439" t="str">
        <f>TRIM(Indice2026!$M$6)</f>
        <v>Días</v>
      </c>
      <c r="F439" t="s">
        <v>146</v>
      </c>
    </row>
    <row r="440" spans="1:6" x14ac:dyDescent="0.3">
      <c r="A440" t="s">
        <v>32</v>
      </c>
      <c r="B440" t="str">
        <f>TRIM(Indice2026!$M$3)</f>
        <v>Permisos de paternidad</v>
      </c>
      <c r="C440" s="59">
        <f>Indice2026!M35</f>
        <v>60</v>
      </c>
      <c r="D440" t="str">
        <f>TRIM(Indice2026!$M$5)</f>
        <v>Días de permiso de paternidad remunerados para los trabajadores del gobierno del Estado</v>
      </c>
      <c r="E440" t="str">
        <f>TRIM(Indice2026!$M$6)</f>
        <v>Días</v>
      </c>
      <c r="F440" t="s">
        <v>146</v>
      </c>
    </row>
    <row r="441" spans="1:6" x14ac:dyDescent="0.3">
      <c r="A441" t="s">
        <v>33</v>
      </c>
      <c r="B441" t="str">
        <f>TRIM(Indice2026!$M$3)</f>
        <v>Permisos de paternidad</v>
      </c>
      <c r="C441" s="59">
        <f>Indice2026!M36</f>
        <v>5</v>
      </c>
      <c r="D441" t="str">
        <f>TRIM(Indice2026!$M$5)</f>
        <v>Días de permiso de paternidad remunerados para los trabajadores del gobierno del Estado</v>
      </c>
      <c r="E441" t="str">
        <f>TRIM(Indice2026!$M$6)</f>
        <v>Días</v>
      </c>
      <c r="F441" t="s">
        <v>146</v>
      </c>
    </row>
    <row r="442" spans="1:6" x14ac:dyDescent="0.3">
      <c r="A442" t="s">
        <v>34</v>
      </c>
      <c r="B442" t="str">
        <f>TRIM(Indice2026!$M$3)</f>
        <v>Permisos de paternidad</v>
      </c>
      <c r="C442" s="59">
        <f>Indice2026!M37</f>
        <v>15</v>
      </c>
      <c r="D442" t="str">
        <f>TRIM(Indice2026!$M$5)</f>
        <v>Días de permiso de paternidad remunerados para los trabajadores del gobierno del Estado</v>
      </c>
      <c r="E442" t="str">
        <f>TRIM(Indice2026!$M$6)</f>
        <v>Días</v>
      </c>
      <c r="F442" t="s">
        <v>146</v>
      </c>
    </row>
    <row r="443" spans="1:6" x14ac:dyDescent="0.3">
      <c r="A443" t="s">
        <v>35</v>
      </c>
      <c r="B443" t="str">
        <f>TRIM(Indice2026!$M$3)</f>
        <v>Permisos de paternidad</v>
      </c>
      <c r="C443" s="59">
        <f>Indice2026!M38</f>
        <v>5</v>
      </c>
      <c r="D443" t="str">
        <f>TRIM(Indice2026!$M$5)</f>
        <v>Días de permiso de paternidad remunerados para los trabajadores del gobierno del Estado</v>
      </c>
      <c r="E443" t="str">
        <f>TRIM(Indice2026!$M$6)</f>
        <v>Días</v>
      </c>
      <c r="F443" t="s">
        <v>146</v>
      </c>
    </row>
    <row r="444" spans="1:6" x14ac:dyDescent="0.3">
      <c r="A444" t="s">
        <v>36</v>
      </c>
      <c r="B444" t="str">
        <f>TRIM(Indice2026!$M$3)</f>
        <v>Permisos de paternidad</v>
      </c>
      <c r="C444" s="59">
        <f>Indice2026!M39</f>
        <v>5</v>
      </c>
      <c r="D444" t="str">
        <f>TRIM(Indice2026!$M$5)</f>
        <v>Días de permiso de paternidad remunerados para los trabajadores del gobierno del Estado</v>
      </c>
      <c r="E444" t="str">
        <f>TRIM(Indice2026!$M$6)</f>
        <v>Días</v>
      </c>
      <c r="F444" t="s">
        <v>146</v>
      </c>
    </row>
    <row r="445" spans="1:6" x14ac:dyDescent="0.3">
      <c r="A445" t="s">
        <v>37</v>
      </c>
      <c r="B445" t="str">
        <f>TRIM(Indice2026!$M$3)</f>
        <v>Permisos de paternidad</v>
      </c>
      <c r="C445" s="59">
        <f>Indice2026!M40</f>
        <v>20</v>
      </c>
      <c r="D445" t="str">
        <f>TRIM(Indice2026!$M$5)</f>
        <v>Días de permiso de paternidad remunerados para los trabajadores del gobierno del Estado</v>
      </c>
      <c r="E445" t="str">
        <f>TRIM(Indice2026!$M$6)</f>
        <v>Días</v>
      </c>
      <c r="F445" t="s">
        <v>146</v>
      </c>
    </row>
    <row r="446" spans="1:6" x14ac:dyDescent="0.3">
      <c r="A446" t="s">
        <v>38</v>
      </c>
      <c r="B446" t="str">
        <f>TRIM(Indice2026!$M$3)</f>
        <v>Permisos de paternidad</v>
      </c>
      <c r="C446" s="59">
        <f>Indice2026!M41</f>
        <v>45</v>
      </c>
      <c r="D446" t="str">
        <f>TRIM(Indice2026!$M$5)</f>
        <v>Días de permiso de paternidad remunerados para los trabajadores del gobierno del Estado</v>
      </c>
      <c r="E446" t="str">
        <f>TRIM(Indice2026!$M$6)</f>
        <v>Días</v>
      </c>
      <c r="F446" t="s">
        <v>146</v>
      </c>
    </row>
    <row r="447" spans="1:6" x14ac:dyDescent="0.3">
      <c r="A447" t="s">
        <v>39</v>
      </c>
      <c r="B447" t="str">
        <f>TRIM(Indice2026!$M$3)</f>
        <v>Permisos de paternidad</v>
      </c>
      <c r="C447" s="59">
        <f>Indice2026!M42</f>
        <v>5</v>
      </c>
      <c r="D447" t="str">
        <f>TRIM(Indice2026!$M$5)</f>
        <v>Días de permiso de paternidad remunerados para los trabajadores del gobierno del Estado</v>
      </c>
      <c r="E447" t="str">
        <f>TRIM(Indice2026!$M$6)</f>
        <v>Días</v>
      </c>
      <c r="F447" t="s">
        <v>146</v>
      </c>
    </row>
    <row r="448" spans="1:6" x14ac:dyDescent="0.3">
      <c r="A448" t="s">
        <v>40</v>
      </c>
      <c r="B448" t="str">
        <f>TRIM(Indice2026!$M$3)</f>
        <v>Permisos de paternidad</v>
      </c>
      <c r="C448" s="59">
        <f>Indice2026!M43</f>
        <v>10</v>
      </c>
      <c r="D448" t="str">
        <f>TRIM(Indice2026!$M$5)</f>
        <v>Días de permiso de paternidad remunerados para los trabajadores del gobierno del Estado</v>
      </c>
      <c r="E448" t="str">
        <f>TRIM(Indice2026!$M$6)</f>
        <v>Días</v>
      </c>
      <c r="F448" t="s">
        <v>146</v>
      </c>
    </row>
    <row r="449" spans="1:6" x14ac:dyDescent="0.3">
      <c r="A449" t="s">
        <v>41</v>
      </c>
      <c r="B449" t="str">
        <f>TRIM(Indice2026!$M$3)</f>
        <v>Permisos de paternidad</v>
      </c>
      <c r="C449" s="59">
        <f>Indice2026!M44</f>
        <v>45</v>
      </c>
      <c r="D449" t="str">
        <f>TRIM(Indice2026!$M$5)</f>
        <v>Días de permiso de paternidad remunerados para los trabajadores del gobierno del Estado</v>
      </c>
      <c r="E449" t="str">
        <f>TRIM(Indice2026!$M$6)</f>
        <v>Días</v>
      </c>
      <c r="F449" t="s">
        <v>146</v>
      </c>
    </row>
    <row r="450" spans="1:6" x14ac:dyDescent="0.3">
      <c r="A450" t="s">
        <v>7</v>
      </c>
      <c r="B450" t="str">
        <f>TRIM(Indice2026!$O$3)</f>
        <v>Pobreza laboral</v>
      </c>
      <c r="C450" s="59">
        <f>Indice2026!O13</f>
        <v>33.700000000000003</v>
      </c>
      <c r="D450" t="str">
        <f>TRIM(Indice2026!$O$5)</f>
        <v>Mujeres con ingreso laboral inferior al costo de la canasta alimentaria</v>
      </c>
      <c r="E450" t="str">
        <f>TRIM(Indice2026!$O$6)</f>
        <v>Porcentaje</v>
      </c>
      <c r="F450" t="s">
        <v>147</v>
      </c>
    </row>
    <row r="451" spans="1:6" x14ac:dyDescent="0.3">
      <c r="A451" t="s">
        <v>12</v>
      </c>
      <c r="B451" t="str">
        <f>TRIM(Indice2026!$O$3)</f>
        <v>Pobreza laboral</v>
      </c>
      <c r="C451" s="59">
        <f>Indice2026!O14</f>
        <v>20.8</v>
      </c>
      <c r="D451" t="str">
        <f>TRIM(Indice2026!$O$5)</f>
        <v>Mujeres con ingreso laboral inferior al costo de la canasta alimentaria</v>
      </c>
      <c r="E451" t="str">
        <f>TRIM(Indice2026!$O$6)</f>
        <v>Porcentaje</v>
      </c>
      <c r="F451" t="s">
        <v>147</v>
      </c>
    </row>
    <row r="452" spans="1:6" x14ac:dyDescent="0.3">
      <c r="A452" t="s">
        <v>13</v>
      </c>
      <c r="B452" t="str">
        <f>TRIM(Indice2026!$O$3)</f>
        <v>Pobreza laboral</v>
      </c>
      <c r="C452" s="59">
        <f>Indice2026!O15</f>
        <v>14.399999999999999</v>
      </c>
      <c r="D452" t="str">
        <f>TRIM(Indice2026!$O$5)</f>
        <v>Mujeres con ingreso laboral inferior al costo de la canasta alimentaria</v>
      </c>
      <c r="E452" t="str">
        <f>TRIM(Indice2026!$O$6)</f>
        <v>Porcentaje</v>
      </c>
      <c r="F452" t="s">
        <v>147</v>
      </c>
    </row>
    <row r="453" spans="1:6" x14ac:dyDescent="0.3">
      <c r="A453" t="s">
        <v>14</v>
      </c>
      <c r="B453" t="str">
        <f>TRIM(Indice2026!$O$3)</f>
        <v>Pobreza laboral</v>
      </c>
      <c r="C453" s="59">
        <f>Indice2026!O16</f>
        <v>37</v>
      </c>
      <c r="D453" t="str">
        <f>TRIM(Indice2026!$O$5)</f>
        <v>Mujeres con ingreso laboral inferior al costo de la canasta alimentaria</v>
      </c>
      <c r="E453" t="str">
        <f>TRIM(Indice2026!$O$6)</f>
        <v>Porcentaje</v>
      </c>
      <c r="F453" t="s">
        <v>147</v>
      </c>
    </row>
    <row r="454" spans="1:6" x14ac:dyDescent="0.3">
      <c r="A454" t="s">
        <v>15</v>
      </c>
      <c r="B454" t="str">
        <f>TRIM(Indice2026!$O$3)</f>
        <v>Pobreza laboral</v>
      </c>
      <c r="C454" s="59">
        <f>Indice2026!O19</f>
        <v>62.9</v>
      </c>
      <c r="D454" t="str">
        <f>TRIM(Indice2026!$O$5)</f>
        <v>Mujeres con ingreso laboral inferior al costo de la canasta alimentaria</v>
      </c>
      <c r="E454" t="str">
        <f>TRIM(Indice2026!$O$6)</f>
        <v>Porcentaje</v>
      </c>
      <c r="F454" t="s">
        <v>147</v>
      </c>
    </row>
    <row r="455" spans="1:6" x14ac:dyDescent="0.3">
      <c r="A455" t="s">
        <v>16</v>
      </c>
      <c r="B455" t="str">
        <f>TRIM(Indice2026!$O$3)</f>
        <v>Pobreza laboral</v>
      </c>
      <c r="C455" s="59">
        <f>Indice2026!O20</f>
        <v>24.5</v>
      </c>
      <c r="D455" t="str">
        <f>TRIM(Indice2026!$O$5)</f>
        <v>Mujeres con ingreso laboral inferior al costo de la canasta alimentaria</v>
      </c>
      <c r="E455" t="str">
        <f>TRIM(Indice2026!$O$6)</f>
        <v>Porcentaje</v>
      </c>
      <c r="F455" t="s">
        <v>147</v>
      </c>
    </row>
    <row r="456" spans="1:6" x14ac:dyDescent="0.3">
      <c r="A456" t="s">
        <v>17</v>
      </c>
      <c r="B456" t="str">
        <f>TRIM(Indice2026!$O$3)</f>
        <v>Pobreza laboral</v>
      </c>
      <c r="C456" s="59">
        <f>Indice2026!O21</f>
        <v>25.4</v>
      </c>
      <c r="D456" t="str">
        <f>TRIM(Indice2026!$O$5)</f>
        <v>Mujeres con ingreso laboral inferior al costo de la canasta alimentaria</v>
      </c>
      <c r="E456" t="str">
        <f>TRIM(Indice2026!$O$6)</f>
        <v>Porcentaje</v>
      </c>
      <c r="F456" t="s">
        <v>147</v>
      </c>
    </row>
    <row r="457" spans="1:6" x14ac:dyDescent="0.3">
      <c r="A457" t="s">
        <v>18</v>
      </c>
      <c r="B457" t="str">
        <f>TRIM(Indice2026!$O$3)</f>
        <v>Pobreza laboral</v>
      </c>
      <c r="C457" s="59">
        <f>Indice2026!O17</f>
        <v>25.8</v>
      </c>
      <c r="D457" t="str">
        <f>TRIM(Indice2026!$O$5)</f>
        <v>Mujeres con ingreso laboral inferior al costo de la canasta alimentaria</v>
      </c>
      <c r="E457" t="str">
        <f>TRIM(Indice2026!$O$6)</f>
        <v>Porcentaje</v>
      </c>
      <c r="F457" t="s">
        <v>147</v>
      </c>
    </row>
    <row r="458" spans="1:6" x14ac:dyDescent="0.3">
      <c r="A458" t="s">
        <v>19</v>
      </c>
      <c r="B458" t="str">
        <f>TRIM(Indice2026!$O$3)</f>
        <v>Pobreza laboral</v>
      </c>
      <c r="C458" s="59">
        <f>Indice2026!O18</f>
        <v>20.200000000000003</v>
      </c>
      <c r="D458" t="str">
        <f>TRIM(Indice2026!$O$5)</f>
        <v>Mujeres con ingreso laboral inferior al costo de la canasta alimentaria</v>
      </c>
      <c r="E458" t="str">
        <f>TRIM(Indice2026!$O$6)</f>
        <v>Porcentaje</v>
      </c>
      <c r="F458" t="s">
        <v>147</v>
      </c>
    </row>
    <row r="459" spans="1:6" x14ac:dyDescent="0.3">
      <c r="A459" t="s">
        <v>20</v>
      </c>
      <c r="B459" t="str">
        <f>TRIM(Indice2026!$O$3)</f>
        <v>Pobreza laboral</v>
      </c>
      <c r="C459" s="59">
        <f>Indice2026!O22</f>
        <v>34.9</v>
      </c>
      <c r="D459" t="str">
        <f>TRIM(Indice2026!$O$5)</f>
        <v>Mujeres con ingreso laboral inferior al costo de la canasta alimentaria</v>
      </c>
      <c r="E459" t="str">
        <f>TRIM(Indice2026!$O$6)</f>
        <v>Porcentaje</v>
      </c>
      <c r="F459" t="s">
        <v>147</v>
      </c>
    </row>
    <row r="460" spans="1:6" x14ac:dyDescent="0.3">
      <c r="A460" t="s">
        <v>21</v>
      </c>
      <c r="B460" t="str">
        <f>TRIM(Indice2026!$O$3)</f>
        <v>Pobreza laboral</v>
      </c>
      <c r="C460" s="59">
        <f>Indice2026!O23</f>
        <v>35.9</v>
      </c>
      <c r="D460" t="str">
        <f>TRIM(Indice2026!$O$5)</f>
        <v>Mujeres con ingreso laboral inferior al costo de la canasta alimentaria</v>
      </c>
      <c r="E460" t="str">
        <f>TRIM(Indice2026!$O$6)</f>
        <v>Porcentaje</v>
      </c>
      <c r="F460" t="s">
        <v>147</v>
      </c>
    </row>
    <row r="461" spans="1:6" x14ac:dyDescent="0.3">
      <c r="A461" t="s">
        <v>22</v>
      </c>
      <c r="B461" t="str">
        <f>TRIM(Indice2026!$O$3)</f>
        <v>Pobreza laboral</v>
      </c>
      <c r="C461" s="59">
        <f>Indice2026!O24</f>
        <v>53.7</v>
      </c>
      <c r="D461" t="str">
        <f>TRIM(Indice2026!$O$5)</f>
        <v>Mujeres con ingreso laboral inferior al costo de la canasta alimentaria</v>
      </c>
      <c r="E461" t="str">
        <f>TRIM(Indice2026!$O$6)</f>
        <v>Porcentaje</v>
      </c>
      <c r="F461" t="s">
        <v>147</v>
      </c>
    </row>
    <row r="462" spans="1:6" x14ac:dyDescent="0.3">
      <c r="A462" t="s">
        <v>23</v>
      </c>
      <c r="B462" t="str">
        <f>TRIM(Indice2026!$O$3)</f>
        <v>Pobreza laboral</v>
      </c>
      <c r="C462" s="59">
        <f>Indice2026!O25</f>
        <v>40.799999999999997</v>
      </c>
      <c r="D462" t="str">
        <f>TRIM(Indice2026!$O$5)</f>
        <v>Mujeres con ingreso laboral inferior al costo de la canasta alimentaria</v>
      </c>
      <c r="E462" t="str">
        <f>TRIM(Indice2026!$O$6)</f>
        <v>Porcentaje</v>
      </c>
      <c r="F462" t="s">
        <v>147</v>
      </c>
    </row>
    <row r="463" spans="1:6" x14ac:dyDescent="0.3">
      <c r="A463" t="s">
        <v>24</v>
      </c>
      <c r="B463" t="str">
        <f>TRIM(Indice2026!$O$3)</f>
        <v>Pobreza laboral</v>
      </c>
      <c r="C463" s="59">
        <f>Indice2026!O26</f>
        <v>25.7</v>
      </c>
      <c r="D463" t="str">
        <f>TRIM(Indice2026!$O$5)</f>
        <v>Mujeres con ingreso laboral inferior al costo de la canasta alimentaria</v>
      </c>
      <c r="E463" t="str">
        <f>TRIM(Indice2026!$O$6)</f>
        <v>Porcentaje</v>
      </c>
      <c r="F463" t="s">
        <v>147</v>
      </c>
    </row>
    <row r="464" spans="1:6" x14ac:dyDescent="0.3">
      <c r="A464" t="s">
        <v>25</v>
      </c>
      <c r="B464" t="str">
        <f>TRIM(Indice2026!$O$3)</f>
        <v>Pobreza laboral</v>
      </c>
      <c r="C464" s="59">
        <f>Indice2026!O28</f>
        <v>37.5</v>
      </c>
      <c r="D464" t="str">
        <f>TRIM(Indice2026!$O$5)</f>
        <v>Mujeres con ingreso laboral inferior al costo de la canasta alimentaria</v>
      </c>
      <c r="E464" t="str">
        <f>TRIM(Indice2026!$O$6)</f>
        <v>Porcentaje</v>
      </c>
      <c r="F464" t="s">
        <v>147</v>
      </c>
    </row>
    <row r="465" spans="1:6" x14ac:dyDescent="0.3">
      <c r="A465" t="s">
        <v>26</v>
      </c>
      <c r="B465" t="str">
        <f>TRIM(Indice2026!$O$3)</f>
        <v>Pobreza laboral</v>
      </c>
      <c r="C465" s="59">
        <f>Indice2026!O29</f>
        <v>44.7</v>
      </c>
      <c r="D465" t="str">
        <f>TRIM(Indice2026!$O$5)</f>
        <v>Mujeres con ingreso laboral inferior al costo de la canasta alimentaria</v>
      </c>
      <c r="E465" t="str">
        <f>TRIM(Indice2026!$O$6)</f>
        <v>Porcentaje</v>
      </c>
      <c r="F465" t="s">
        <v>147</v>
      </c>
    </row>
    <row r="466" spans="1:6" x14ac:dyDescent="0.3">
      <c r="A466" t="s">
        <v>0</v>
      </c>
      <c r="B466" t="str">
        <f>TRIM(Indice2026!$O$3)</f>
        <v>Pobreza laboral</v>
      </c>
      <c r="C466" s="59">
        <f>Indice2026!O27</f>
        <v>35.099999999999994</v>
      </c>
      <c r="D466" t="str">
        <f>TRIM(Indice2026!$O$5)</f>
        <v>Mujeres con ingreso laboral inferior al costo de la canasta alimentaria</v>
      </c>
      <c r="E466" t="str">
        <f>TRIM(Indice2026!$O$6)</f>
        <v>Porcentaje</v>
      </c>
      <c r="F466" t="s">
        <v>147</v>
      </c>
    </row>
    <row r="467" spans="1:6" x14ac:dyDescent="0.3">
      <c r="A467" t="s">
        <v>27</v>
      </c>
      <c r="B467" t="str">
        <f>TRIM(Indice2026!$O$3)</f>
        <v>Pobreza laboral</v>
      </c>
      <c r="C467" s="59">
        <f>Indice2026!O30</f>
        <v>25.5</v>
      </c>
      <c r="D467" t="str">
        <f>TRIM(Indice2026!$O$5)</f>
        <v>Mujeres con ingreso laboral inferior al costo de la canasta alimentaria</v>
      </c>
      <c r="E467" t="str">
        <f>TRIM(Indice2026!$O$6)</f>
        <v>Porcentaje</v>
      </c>
      <c r="F467" t="s">
        <v>147</v>
      </c>
    </row>
    <row r="468" spans="1:6" x14ac:dyDescent="0.3">
      <c r="A468" t="s">
        <v>28</v>
      </c>
      <c r="B468" t="str">
        <f>TRIM(Indice2026!$O$3)</f>
        <v>Pobreza laboral</v>
      </c>
      <c r="C468" s="59">
        <f>Indice2026!O31</f>
        <v>20.8</v>
      </c>
      <c r="D468" t="str">
        <f>TRIM(Indice2026!$O$5)</f>
        <v>Mujeres con ingreso laboral inferior al costo de la canasta alimentaria</v>
      </c>
      <c r="E468" t="str">
        <f>TRIM(Indice2026!$O$6)</f>
        <v>Porcentaje</v>
      </c>
      <c r="F468" t="s">
        <v>147</v>
      </c>
    </row>
    <row r="469" spans="1:6" x14ac:dyDescent="0.3">
      <c r="A469" t="s">
        <v>29</v>
      </c>
      <c r="B469" t="str">
        <f>TRIM(Indice2026!$O$3)</f>
        <v>Pobreza laboral</v>
      </c>
      <c r="C469" s="59">
        <f>Indice2026!O32</f>
        <v>59.3</v>
      </c>
      <c r="D469" t="str">
        <f>TRIM(Indice2026!$O$5)</f>
        <v>Mujeres con ingreso laboral inferior al costo de la canasta alimentaria</v>
      </c>
      <c r="E469" t="str">
        <f>TRIM(Indice2026!$O$6)</f>
        <v>Porcentaje</v>
      </c>
      <c r="F469" t="s">
        <v>147</v>
      </c>
    </row>
    <row r="470" spans="1:6" x14ac:dyDescent="0.3">
      <c r="A470" t="s">
        <v>30</v>
      </c>
      <c r="B470" t="str">
        <f>TRIM(Indice2026!$O$3)</f>
        <v>Pobreza laboral</v>
      </c>
      <c r="C470" s="59">
        <f>Indice2026!O33</f>
        <v>41.6</v>
      </c>
      <c r="D470" t="str">
        <f>TRIM(Indice2026!$O$5)</f>
        <v>Mujeres con ingreso laboral inferior al costo de la canasta alimentaria</v>
      </c>
      <c r="E470" t="str">
        <f>TRIM(Indice2026!$O$6)</f>
        <v>Porcentaje</v>
      </c>
      <c r="F470" t="s">
        <v>147</v>
      </c>
    </row>
    <row r="471" spans="1:6" x14ac:dyDescent="0.3">
      <c r="A471" t="s">
        <v>31</v>
      </c>
      <c r="B471" t="str">
        <f>TRIM(Indice2026!$O$3)</f>
        <v>Pobreza laboral</v>
      </c>
      <c r="C471" s="59">
        <f>Indice2026!O34</f>
        <v>28.000000000000004</v>
      </c>
      <c r="D471" t="str">
        <f>TRIM(Indice2026!$O$5)</f>
        <v>Mujeres con ingreso laboral inferior al costo de la canasta alimentaria</v>
      </c>
      <c r="E471" t="str">
        <f>TRIM(Indice2026!$O$6)</f>
        <v>Porcentaje</v>
      </c>
      <c r="F471" t="s">
        <v>147</v>
      </c>
    </row>
    <row r="472" spans="1:6" x14ac:dyDescent="0.3">
      <c r="A472" t="s">
        <v>32</v>
      </c>
      <c r="B472" t="str">
        <f>TRIM(Indice2026!$O$3)</f>
        <v>Pobreza laboral</v>
      </c>
      <c r="C472" s="59">
        <f>Indice2026!O35</f>
        <v>20.9</v>
      </c>
      <c r="D472" t="str">
        <f>TRIM(Indice2026!$O$5)</f>
        <v>Mujeres con ingreso laboral inferior al costo de la canasta alimentaria</v>
      </c>
      <c r="E472" t="str">
        <f>TRIM(Indice2026!$O$6)</f>
        <v>Porcentaje</v>
      </c>
      <c r="F472" t="s">
        <v>147</v>
      </c>
    </row>
    <row r="473" spans="1:6" x14ac:dyDescent="0.3">
      <c r="A473" t="s">
        <v>33</v>
      </c>
      <c r="B473" t="str">
        <f>TRIM(Indice2026!$O$3)</f>
        <v>Pobreza laboral</v>
      </c>
      <c r="C473" s="59">
        <f>Indice2026!O36</f>
        <v>45.4</v>
      </c>
      <c r="D473" t="str">
        <f>TRIM(Indice2026!$O$5)</f>
        <v>Mujeres con ingreso laboral inferior al costo de la canasta alimentaria</v>
      </c>
      <c r="E473" t="str">
        <f>TRIM(Indice2026!$O$6)</f>
        <v>Porcentaje</v>
      </c>
      <c r="F473" t="s">
        <v>147</v>
      </c>
    </row>
    <row r="474" spans="1:6" x14ac:dyDescent="0.3">
      <c r="A474" t="s">
        <v>34</v>
      </c>
      <c r="B474" t="str">
        <f>TRIM(Indice2026!$O$3)</f>
        <v>Pobreza laboral</v>
      </c>
      <c r="C474" s="59">
        <f>Indice2026!O37</f>
        <v>28.199999999999996</v>
      </c>
      <c r="D474" t="str">
        <f>TRIM(Indice2026!$O$5)</f>
        <v>Mujeres con ingreso laboral inferior al costo de la canasta alimentaria</v>
      </c>
      <c r="E474" t="str">
        <f>TRIM(Indice2026!$O$6)</f>
        <v>Porcentaje</v>
      </c>
      <c r="F474" t="s">
        <v>147</v>
      </c>
    </row>
    <row r="475" spans="1:6" x14ac:dyDescent="0.3">
      <c r="A475" t="s">
        <v>35</v>
      </c>
      <c r="B475" t="str">
        <f>TRIM(Indice2026!$O$3)</f>
        <v>Pobreza laboral</v>
      </c>
      <c r="C475" s="59">
        <f>Indice2026!O38</f>
        <v>28.000000000000004</v>
      </c>
      <c r="D475" t="str">
        <f>TRIM(Indice2026!$O$5)</f>
        <v>Mujeres con ingreso laboral inferior al costo de la canasta alimentaria</v>
      </c>
      <c r="E475" t="str">
        <f>TRIM(Indice2026!$O$6)</f>
        <v>Porcentaje</v>
      </c>
      <c r="F475" t="s">
        <v>147</v>
      </c>
    </row>
    <row r="476" spans="1:6" x14ac:dyDescent="0.3">
      <c r="A476" t="s">
        <v>36</v>
      </c>
      <c r="B476" t="str">
        <f>TRIM(Indice2026!$O$3)</f>
        <v>Pobreza laboral</v>
      </c>
      <c r="C476" s="59">
        <f>Indice2026!O39</f>
        <v>43.4</v>
      </c>
      <c r="D476" t="str">
        <f>TRIM(Indice2026!$O$5)</f>
        <v>Mujeres con ingreso laboral inferior al costo de la canasta alimentaria</v>
      </c>
      <c r="E476" t="str">
        <f>TRIM(Indice2026!$O$6)</f>
        <v>Porcentaje</v>
      </c>
      <c r="F476" t="s">
        <v>147</v>
      </c>
    </row>
    <row r="477" spans="1:6" x14ac:dyDescent="0.3">
      <c r="A477" t="s">
        <v>37</v>
      </c>
      <c r="B477" t="str">
        <f>TRIM(Indice2026!$O$3)</f>
        <v>Pobreza laboral</v>
      </c>
      <c r="C477" s="59">
        <f>Indice2026!O40</f>
        <v>27.700000000000003</v>
      </c>
      <c r="D477" t="str">
        <f>TRIM(Indice2026!$O$5)</f>
        <v>Mujeres con ingreso laboral inferior al costo de la canasta alimentaria</v>
      </c>
      <c r="E477" t="str">
        <f>TRIM(Indice2026!$O$6)</f>
        <v>Porcentaje</v>
      </c>
      <c r="F477" t="s">
        <v>147</v>
      </c>
    </row>
    <row r="478" spans="1:6" x14ac:dyDescent="0.3">
      <c r="A478" t="s">
        <v>38</v>
      </c>
      <c r="B478" t="str">
        <f>TRIM(Indice2026!$O$3)</f>
        <v>Pobreza laboral</v>
      </c>
      <c r="C478" s="59">
        <f>Indice2026!O41</f>
        <v>39.900000000000006</v>
      </c>
      <c r="D478" t="str">
        <f>TRIM(Indice2026!$O$5)</f>
        <v>Mujeres con ingreso laboral inferior al costo de la canasta alimentaria</v>
      </c>
      <c r="E478" t="str">
        <f>TRIM(Indice2026!$O$6)</f>
        <v>Porcentaje</v>
      </c>
      <c r="F478" t="s">
        <v>147</v>
      </c>
    </row>
    <row r="479" spans="1:6" x14ac:dyDescent="0.3">
      <c r="A479" t="s">
        <v>39</v>
      </c>
      <c r="B479" t="str">
        <f>TRIM(Indice2026!$O$3)</f>
        <v>Pobreza laboral</v>
      </c>
      <c r="C479" s="59">
        <f>Indice2026!O42</f>
        <v>52.7</v>
      </c>
      <c r="D479" t="str">
        <f>TRIM(Indice2026!$O$5)</f>
        <v>Mujeres con ingreso laboral inferior al costo de la canasta alimentaria</v>
      </c>
      <c r="E479" t="str">
        <f>TRIM(Indice2026!$O$6)</f>
        <v>Porcentaje</v>
      </c>
      <c r="F479" t="s">
        <v>147</v>
      </c>
    </row>
    <row r="480" spans="1:6" x14ac:dyDescent="0.3">
      <c r="A480" t="s">
        <v>40</v>
      </c>
      <c r="B480" t="str">
        <f>TRIM(Indice2026!$O$3)</f>
        <v>Pobreza laboral</v>
      </c>
      <c r="C480" s="59">
        <f>Indice2026!O43</f>
        <v>27.3</v>
      </c>
      <c r="D480" t="str">
        <f>TRIM(Indice2026!$O$5)</f>
        <v>Mujeres con ingreso laboral inferior al costo de la canasta alimentaria</v>
      </c>
      <c r="E480" t="str">
        <f>TRIM(Indice2026!$O$6)</f>
        <v>Porcentaje</v>
      </c>
      <c r="F480" t="s">
        <v>147</v>
      </c>
    </row>
    <row r="481" spans="1:6" x14ac:dyDescent="0.3">
      <c r="A481" t="s">
        <v>41</v>
      </c>
      <c r="B481" t="str">
        <f>TRIM(Indice2026!$O$3)</f>
        <v>Pobreza laboral</v>
      </c>
      <c r="C481" s="59">
        <f>Indice2026!O44</f>
        <v>43.9</v>
      </c>
      <c r="D481" t="str">
        <f>TRIM(Indice2026!$O$5)</f>
        <v>Mujeres con ingreso laboral inferior al costo de la canasta alimentaria</v>
      </c>
      <c r="E481" t="str">
        <f>TRIM(Indice2026!$O$6)</f>
        <v>Porcentaje</v>
      </c>
      <c r="F481" t="s">
        <v>147</v>
      </c>
    </row>
    <row r="482" spans="1:6" x14ac:dyDescent="0.3">
      <c r="A482" t="s">
        <v>7</v>
      </c>
      <c r="B482" t="str">
        <f>TRIM(Indice2026!$R$3)</f>
        <v>Propiedad de la vivienda</v>
      </c>
      <c r="C482" s="59">
        <f>Indice2026!R13</f>
        <v>18.171666278552827</v>
      </c>
      <c r="D482" t="str">
        <f>TRIM(Indice2026!$R$5)</f>
        <v>Porcentaje de mujeres con propiedad o copropiedad legal de vivienda</v>
      </c>
      <c r="E482" t="str">
        <f>TRIM(Indice2026!$R$6)</f>
        <v>Porcentaje</v>
      </c>
      <c r="F482" t="s">
        <v>51</v>
      </c>
    </row>
    <row r="483" spans="1:6" x14ac:dyDescent="0.3">
      <c r="A483" t="s">
        <v>12</v>
      </c>
      <c r="B483" t="str">
        <f>TRIM(Indice2026!$R$3)</f>
        <v>Propiedad de la vivienda</v>
      </c>
      <c r="C483" s="59">
        <f>Indice2026!R14</f>
        <v>16.956316672909125</v>
      </c>
      <c r="D483" t="str">
        <f>TRIM(Indice2026!$R$5)</f>
        <v>Porcentaje de mujeres con propiedad o copropiedad legal de vivienda</v>
      </c>
      <c r="E483" t="str">
        <f>TRIM(Indice2026!$R$6)</f>
        <v>Porcentaje</v>
      </c>
      <c r="F483" t="s">
        <v>51</v>
      </c>
    </row>
    <row r="484" spans="1:6" x14ac:dyDescent="0.3">
      <c r="A484" t="s">
        <v>13</v>
      </c>
      <c r="B484" t="str">
        <f>TRIM(Indice2026!$R$3)</f>
        <v>Propiedad de la vivienda</v>
      </c>
      <c r="C484" s="59">
        <f>Indice2026!R15</f>
        <v>19.103132138531588</v>
      </c>
      <c r="D484" t="str">
        <f>TRIM(Indice2026!$R$5)</f>
        <v>Porcentaje de mujeres con propiedad o copropiedad legal de vivienda</v>
      </c>
      <c r="E484" t="str">
        <f>TRIM(Indice2026!$R$6)</f>
        <v>Porcentaje</v>
      </c>
      <c r="F484" t="s">
        <v>51</v>
      </c>
    </row>
    <row r="485" spans="1:6" x14ac:dyDescent="0.3">
      <c r="A485" t="s">
        <v>14</v>
      </c>
      <c r="B485" t="str">
        <f>TRIM(Indice2026!$R$3)</f>
        <v>Propiedad de la vivienda</v>
      </c>
      <c r="C485" s="59">
        <f>Indice2026!R16</f>
        <v>23.330077819128185</v>
      </c>
      <c r="D485" t="str">
        <f>TRIM(Indice2026!$R$5)</f>
        <v>Porcentaje de mujeres con propiedad o copropiedad legal de vivienda</v>
      </c>
      <c r="E485" t="str">
        <f>TRIM(Indice2026!$R$6)</f>
        <v>Porcentaje</v>
      </c>
      <c r="F485" t="s">
        <v>51</v>
      </c>
    </row>
    <row r="486" spans="1:6" x14ac:dyDescent="0.3">
      <c r="A486" t="s">
        <v>15</v>
      </c>
      <c r="B486" t="str">
        <f>TRIM(Indice2026!$R$3)</f>
        <v>Propiedad de la vivienda</v>
      </c>
      <c r="C486" s="59">
        <f>Indice2026!R19</f>
        <v>12.396624662510288</v>
      </c>
      <c r="D486" t="str">
        <f>TRIM(Indice2026!$R$5)</f>
        <v>Porcentaje de mujeres con propiedad o copropiedad legal de vivienda</v>
      </c>
      <c r="E486" t="str">
        <f>TRIM(Indice2026!$R$6)</f>
        <v>Porcentaje</v>
      </c>
      <c r="F486" t="s">
        <v>51</v>
      </c>
    </row>
    <row r="487" spans="1:6" x14ac:dyDescent="0.3">
      <c r="A487" t="s">
        <v>16</v>
      </c>
      <c r="B487" t="str">
        <f>TRIM(Indice2026!$R$3)</f>
        <v>Propiedad de la vivienda</v>
      </c>
      <c r="C487" s="59">
        <f>Indice2026!R20</f>
        <v>19.547276602106127</v>
      </c>
      <c r="D487" t="str">
        <f>TRIM(Indice2026!$R$5)</f>
        <v>Porcentaje de mujeres con propiedad o copropiedad legal de vivienda</v>
      </c>
      <c r="E487" t="str">
        <f>TRIM(Indice2026!$R$6)</f>
        <v>Porcentaje</v>
      </c>
      <c r="F487" t="s">
        <v>51</v>
      </c>
    </row>
    <row r="488" spans="1:6" x14ac:dyDescent="0.3">
      <c r="A488" t="s">
        <v>17</v>
      </c>
      <c r="B488" t="str">
        <f>TRIM(Indice2026!$R$3)</f>
        <v>Propiedad de la vivienda</v>
      </c>
      <c r="C488" s="59">
        <f>Indice2026!R21</f>
        <v>17.316256165231454</v>
      </c>
      <c r="D488" t="str">
        <f>TRIM(Indice2026!$R$5)</f>
        <v>Porcentaje de mujeres con propiedad o copropiedad legal de vivienda</v>
      </c>
      <c r="E488" t="str">
        <f>TRIM(Indice2026!$R$6)</f>
        <v>Porcentaje</v>
      </c>
      <c r="F488" t="s">
        <v>51</v>
      </c>
    </row>
    <row r="489" spans="1:6" x14ac:dyDescent="0.3">
      <c r="A489" t="s">
        <v>18</v>
      </c>
      <c r="B489" t="str">
        <f>TRIM(Indice2026!$R$3)</f>
        <v>Propiedad de la vivienda</v>
      </c>
      <c r="C489" s="59">
        <f>Indice2026!R17</f>
        <v>17.634275564852622</v>
      </c>
      <c r="D489" t="str">
        <f>TRIM(Indice2026!$R$5)</f>
        <v>Porcentaje de mujeres con propiedad o copropiedad legal de vivienda</v>
      </c>
      <c r="E489" t="str">
        <f>TRIM(Indice2026!$R$6)</f>
        <v>Porcentaje</v>
      </c>
      <c r="F489" t="s">
        <v>51</v>
      </c>
    </row>
    <row r="490" spans="1:6" x14ac:dyDescent="0.3">
      <c r="A490" t="s">
        <v>19</v>
      </c>
      <c r="B490" t="str">
        <f>TRIM(Indice2026!$R$3)</f>
        <v>Propiedad de la vivienda</v>
      </c>
      <c r="C490" s="59">
        <f>Indice2026!R18</f>
        <v>20.76751660746535</v>
      </c>
      <c r="D490" t="str">
        <f>TRIM(Indice2026!$R$5)</f>
        <v>Porcentaje de mujeres con propiedad o copropiedad legal de vivienda</v>
      </c>
      <c r="E490" t="str">
        <f>TRIM(Indice2026!$R$6)</f>
        <v>Porcentaje</v>
      </c>
      <c r="F490" t="s">
        <v>51</v>
      </c>
    </row>
    <row r="491" spans="1:6" x14ac:dyDescent="0.3">
      <c r="A491" t="s">
        <v>20</v>
      </c>
      <c r="B491" t="str">
        <f>TRIM(Indice2026!$R$3)</f>
        <v>Propiedad de la vivienda</v>
      </c>
      <c r="C491" s="59">
        <f>Indice2026!R22</f>
        <v>17.005713956735129</v>
      </c>
      <c r="D491" t="str">
        <f>TRIM(Indice2026!$R$5)</f>
        <v>Porcentaje de mujeres con propiedad o copropiedad legal de vivienda</v>
      </c>
      <c r="E491" t="str">
        <f>TRIM(Indice2026!$R$6)</f>
        <v>Porcentaje</v>
      </c>
      <c r="F491" t="s">
        <v>51</v>
      </c>
    </row>
    <row r="492" spans="1:6" x14ac:dyDescent="0.3">
      <c r="A492" t="s">
        <v>21</v>
      </c>
      <c r="B492" t="str">
        <f>TRIM(Indice2026!$R$3)</f>
        <v>Propiedad de la vivienda</v>
      </c>
      <c r="C492" s="59">
        <f>Indice2026!R23</f>
        <v>15.660868018630266</v>
      </c>
      <c r="D492" t="str">
        <f>TRIM(Indice2026!$R$5)</f>
        <v>Porcentaje de mujeres con propiedad o copropiedad legal de vivienda</v>
      </c>
      <c r="E492" t="str">
        <f>TRIM(Indice2026!$R$6)</f>
        <v>Porcentaje</v>
      </c>
      <c r="F492" t="s">
        <v>51</v>
      </c>
    </row>
    <row r="493" spans="1:6" x14ac:dyDescent="0.3">
      <c r="A493" t="s">
        <v>22</v>
      </c>
      <c r="B493" t="str">
        <f>TRIM(Indice2026!$R$3)</f>
        <v>Propiedad de la vivienda</v>
      </c>
      <c r="C493" s="59">
        <f>Indice2026!R24</f>
        <v>18.696321090314154</v>
      </c>
      <c r="D493" t="str">
        <f>TRIM(Indice2026!$R$5)</f>
        <v>Porcentaje de mujeres con propiedad o copropiedad legal de vivienda</v>
      </c>
      <c r="E493" t="str">
        <f>TRIM(Indice2026!$R$6)</f>
        <v>Porcentaje</v>
      </c>
      <c r="F493" t="s">
        <v>51</v>
      </c>
    </row>
    <row r="494" spans="1:6" x14ac:dyDescent="0.3">
      <c r="A494" t="s">
        <v>23</v>
      </c>
      <c r="B494" t="str">
        <f>TRIM(Indice2026!$R$3)</f>
        <v>Propiedad de la vivienda</v>
      </c>
      <c r="C494" s="59">
        <f>Indice2026!R25</f>
        <v>13.559274621544718</v>
      </c>
      <c r="D494" t="str">
        <f>TRIM(Indice2026!$R$5)</f>
        <v>Porcentaje de mujeres con propiedad o copropiedad legal de vivienda</v>
      </c>
      <c r="E494" t="str">
        <f>TRIM(Indice2026!$R$6)</f>
        <v>Porcentaje</v>
      </c>
      <c r="F494" t="s">
        <v>51</v>
      </c>
    </row>
    <row r="495" spans="1:6" x14ac:dyDescent="0.3">
      <c r="A495" t="s">
        <v>24</v>
      </c>
      <c r="B495" t="str">
        <f>TRIM(Indice2026!$R$3)</f>
        <v>Propiedad de la vivienda</v>
      </c>
      <c r="C495" s="59">
        <f>Indice2026!R26</f>
        <v>18.305634697879604</v>
      </c>
      <c r="D495" t="str">
        <f>TRIM(Indice2026!$R$5)</f>
        <v>Porcentaje de mujeres con propiedad o copropiedad legal de vivienda</v>
      </c>
      <c r="E495" t="str">
        <f>TRIM(Indice2026!$R$6)</f>
        <v>Porcentaje</v>
      </c>
      <c r="F495" t="s">
        <v>51</v>
      </c>
    </row>
    <row r="496" spans="1:6" x14ac:dyDescent="0.3">
      <c r="A496" t="s">
        <v>25</v>
      </c>
      <c r="B496" t="str">
        <f>TRIM(Indice2026!$R$3)</f>
        <v>Propiedad de la vivienda</v>
      </c>
      <c r="C496" s="59">
        <f>Indice2026!R28</f>
        <v>14.564960534835341</v>
      </c>
      <c r="D496" t="str">
        <f>TRIM(Indice2026!$R$5)</f>
        <v>Porcentaje de mujeres con propiedad o copropiedad legal de vivienda</v>
      </c>
      <c r="E496" t="str">
        <f>TRIM(Indice2026!$R$6)</f>
        <v>Porcentaje</v>
      </c>
      <c r="F496" t="s">
        <v>51</v>
      </c>
    </row>
    <row r="497" spans="1:6" x14ac:dyDescent="0.3">
      <c r="A497" t="s">
        <v>26</v>
      </c>
      <c r="B497" t="str">
        <f>TRIM(Indice2026!$R$3)</f>
        <v>Propiedad de la vivienda</v>
      </c>
      <c r="C497" s="59">
        <f>Indice2026!R29</f>
        <v>14.00012236341184</v>
      </c>
      <c r="D497" t="str">
        <f>TRIM(Indice2026!$R$5)</f>
        <v>Porcentaje de mujeres con propiedad o copropiedad legal de vivienda</v>
      </c>
      <c r="E497" t="str">
        <f>TRIM(Indice2026!$R$6)</f>
        <v>Porcentaje</v>
      </c>
      <c r="F497" t="s">
        <v>51</v>
      </c>
    </row>
    <row r="498" spans="1:6" x14ac:dyDescent="0.3">
      <c r="A498" t="s">
        <v>0</v>
      </c>
      <c r="B498" t="str">
        <f>TRIM(Indice2026!$R$3)</f>
        <v>Propiedad de la vivienda</v>
      </c>
      <c r="C498" s="59">
        <f>Indice2026!R27</f>
        <v>11.714751975529365</v>
      </c>
      <c r="D498" t="str">
        <f>TRIM(Indice2026!$R$5)</f>
        <v>Porcentaje de mujeres con propiedad o copropiedad legal de vivienda</v>
      </c>
      <c r="E498" t="str">
        <f>TRIM(Indice2026!$R$6)</f>
        <v>Porcentaje</v>
      </c>
      <c r="F498" t="s">
        <v>51</v>
      </c>
    </row>
    <row r="499" spans="1:6" x14ac:dyDescent="0.3">
      <c r="A499" t="s">
        <v>27</v>
      </c>
      <c r="B499" t="str">
        <f>TRIM(Indice2026!$R$3)</f>
        <v>Propiedad de la vivienda</v>
      </c>
      <c r="C499" s="59">
        <f>Indice2026!R30</f>
        <v>18.400888129952008</v>
      </c>
      <c r="D499" t="str">
        <f>TRIM(Indice2026!$R$5)</f>
        <v>Porcentaje de mujeres con propiedad o copropiedad legal de vivienda</v>
      </c>
      <c r="E499" t="str">
        <f>TRIM(Indice2026!$R$6)</f>
        <v>Porcentaje</v>
      </c>
      <c r="F499" t="s">
        <v>51</v>
      </c>
    </row>
    <row r="500" spans="1:6" x14ac:dyDescent="0.3">
      <c r="A500" t="s">
        <v>28</v>
      </c>
      <c r="B500" t="str">
        <f>TRIM(Indice2026!$R$3)</f>
        <v>Propiedad de la vivienda</v>
      </c>
      <c r="C500" s="59">
        <f>Indice2026!R31</f>
        <v>18.419045734356441</v>
      </c>
      <c r="D500" t="str">
        <f>TRIM(Indice2026!$R$5)</f>
        <v>Porcentaje de mujeres con propiedad o copropiedad legal de vivienda</v>
      </c>
      <c r="E500" t="str">
        <f>TRIM(Indice2026!$R$6)</f>
        <v>Porcentaje</v>
      </c>
      <c r="F500" t="s">
        <v>51</v>
      </c>
    </row>
    <row r="501" spans="1:6" x14ac:dyDescent="0.3">
      <c r="A501" t="s">
        <v>29</v>
      </c>
      <c r="B501" t="str">
        <f>TRIM(Indice2026!$R$3)</f>
        <v>Propiedad de la vivienda</v>
      </c>
      <c r="C501" s="59">
        <f>Indice2026!R32</f>
        <v>11.786464860166431</v>
      </c>
      <c r="D501" t="str">
        <f>TRIM(Indice2026!$R$5)</f>
        <v>Porcentaje de mujeres con propiedad o copropiedad legal de vivienda</v>
      </c>
      <c r="E501" t="str">
        <f>TRIM(Indice2026!$R$6)</f>
        <v>Porcentaje</v>
      </c>
      <c r="F501" t="s">
        <v>51</v>
      </c>
    </row>
    <row r="502" spans="1:6" x14ac:dyDescent="0.3">
      <c r="A502" t="s">
        <v>30</v>
      </c>
      <c r="B502" t="str">
        <f>TRIM(Indice2026!$R$3)</f>
        <v>Propiedad de la vivienda</v>
      </c>
      <c r="C502" s="59">
        <f>Indice2026!R33</f>
        <v>13.259249692125117</v>
      </c>
      <c r="D502" t="str">
        <f>TRIM(Indice2026!$R$5)</f>
        <v>Porcentaje de mujeres con propiedad o copropiedad legal de vivienda</v>
      </c>
      <c r="E502" t="str">
        <f>TRIM(Indice2026!$R$6)</f>
        <v>Porcentaje</v>
      </c>
      <c r="F502" t="s">
        <v>51</v>
      </c>
    </row>
    <row r="503" spans="1:6" x14ac:dyDescent="0.3">
      <c r="A503" t="s">
        <v>31</v>
      </c>
      <c r="B503" t="str">
        <f>TRIM(Indice2026!$R$3)</f>
        <v>Propiedad de la vivienda</v>
      </c>
      <c r="C503" s="59">
        <f>Indice2026!R34</f>
        <v>14.902332710445803</v>
      </c>
      <c r="D503" t="str">
        <f>TRIM(Indice2026!$R$5)</f>
        <v>Porcentaje de mujeres con propiedad o copropiedad legal de vivienda</v>
      </c>
      <c r="E503" t="str">
        <f>TRIM(Indice2026!$R$6)</f>
        <v>Porcentaje</v>
      </c>
      <c r="F503" t="s">
        <v>51</v>
      </c>
    </row>
    <row r="504" spans="1:6" x14ac:dyDescent="0.3">
      <c r="A504" t="s">
        <v>32</v>
      </c>
      <c r="B504" t="str">
        <f>TRIM(Indice2026!$R$3)</f>
        <v>Propiedad de la vivienda</v>
      </c>
      <c r="C504" s="59">
        <f>Indice2026!R35</f>
        <v>15.130453138193076</v>
      </c>
      <c r="D504" t="str">
        <f>TRIM(Indice2026!$R$5)</f>
        <v>Porcentaje de mujeres con propiedad o copropiedad legal de vivienda</v>
      </c>
      <c r="E504" t="str">
        <f>TRIM(Indice2026!$R$6)</f>
        <v>Porcentaje</v>
      </c>
      <c r="F504" t="s">
        <v>51</v>
      </c>
    </row>
    <row r="505" spans="1:6" x14ac:dyDescent="0.3">
      <c r="A505" t="s">
        <v>33</v>
      </c>
      <c r="B505" t="str">
        <f>TRIM(Indice2026!$R$3)</f>
        <v>Propiedad de la vivienda</v>
      </c>
      <c r="C505" s="59">
        <f>Indice2026!R36</f>
        <v>16.411769181164093</v>
      </c>
      <c r="D505" t="str">
        <f>TRIM(Indice2026!$R$5)</f>
        <v>Porcentaje de mujeres con propiedad o copropiedad legal de vivienda</v>
      </c>
      <c r="E505" t="str">
        <f>TRIM(Indice2026!$R$6)</f>
        <v>Porcentaje</v>
      </c>
      <c r="F505" t="s">
        <v>51</v>
      </c>
    </row>
    <row r="506" spans="1:6" x14ac:dyDescent="0.3">
      <c r="A506" t="s">
        <v>34</v>
      </c>
      <c r="B506" t="str">
        <f>TRIM(Indice2026!$R$3)</f>
        <v>Propiedad de la vivienda</v>
      </c>
      <c r="C506" s="59">
        <f>Indice2026!R37</f>
        <v>19.716423696359556</v>
      </c>
      <c r="D506" t="str">
        <f>TRIM(Indice2026!$R$5)</f>
        <v>Porcentaje de mujeres con propiedad o copropiedad legal de vivienda</v>
      </c>
      <c r="E506" t="str">
        <f>TRIM(Indice2026!$R$6)</f>
        <v>Porcentaje</v>
      </c>
      <c r="F506" t="s">
        <v>51</v>
      </c>
    </row>
    <row r="507" spans="1:6" x14ac:dyDescent="0.3">
      <c r="A507" t="s">
        <v>35</v>
      </c>
      <c r="B507" t="str">
        <f>TRIM(Indice2026!$R$3)</f>
        <v>Propiedad de la vivienda</v>
      </c>
      <c r="C507" s="59">
        <f>Indice2026!R38</f>
        <v>22.387409787406177</v>
      </c>
      <c r="D507" t="str">
        <f>TRIM(Indice2026!$R$5)</f>
        <v>Porcentaje de mujeres con propiedad o copropiedad legal de vivienda</v>
      </c>
      <c r="E507" t="str">
        <f>TRIM(Indice2026!$R$6)</f>
        <v>Porcentaje</v>
      </c>
      <c r="F507" t="s">
        <v>51</v>
      </c>
    </row>
    <row r="508" spans="1:6" x14ac:dyDescent="0.3">
      <c r="A508" t="s">
        <v>36</v>
      </c>
      <c r="B508" t="str">
        <f>TRIM(Indice2026!$R$3)</f>
        <v>Propiedad de la vivienda</v>
      </c>
      <c r="C508" s="59">
        <f>Indice2026!R39</f>
        <v>17.50845617405103</v>
      </c>
      <c r="D508" t="str">
        <f>TRIM(Indice2026!$R$5)</f>
        <v>Porcentaje de mujeres con propiedad o copropiedad legal de vivienda</v>
      </c>
      <c r="E508" t="str">
        <f>TRIM(Indice2026!$R$6)</f>
        <v>Porcentaje</v>
      </c>
      <c r="F508" t="s">
        <v>51</v>
      </c>
    </row>
    <row r="509" spans="1:6" x14ac:dyDescent="0.3">
      <c r="A509" t="s">
        <v>37</v>
      </c>
      <c r="B509" t="str">
        <f>TRIM(Indice2026!$R$3)</f>
        <v>Propiedad de la vivienda</v>
      </c>
      <c r="C509" s="59">
        <f>Indice2026!R40</f>
        <v>19.081547601062116</v>
      </c>
      <c r="D509" t="str">
        <f>TRIM(Indice2026!$R$5)</f>
        <v>Porcentaje de mujeres con propiedad o copropiedad legal de vivienda</v>
      </c>
      <c r="E509" t="str">
        <f>TRIM(Indice2026!$R$6)</f>
        <v>Porcentaje</v>
      </c>
      <c r="F509" t="s">
        <v>51</v>
      </c>
    </row>
    <row r="510" spans="1:6" x14ac:dyDescent="0.3">
      <c r="A510" t="s">
        <v>38</v>
      </c>
      <c r="B510" t="str">
        <f>TRIM(Indice2026!$R$3)</f>
        <v>Propiedad de la vivienda</v>
      </c>
      <c r="C510" s="59">
        <f>Indice2026!R41</f>
        <v>17.504572608855909</v>
      </c>
      <c r="D510" t="str">
        <f>TRIM(Indice2026!$R$5)</f>
        <v>Porcentaje de mujeres con propiedad o copropiedad legal de vivienda</v>
      </c>
      <c r="E510" t="str">
        <f>TRIM(Indice2026!$R$6)</f>
        <v>Porcentaje</v>
      </c>
      <c r="F510" t="s">
        <v>51</v>
      </c>
    </row>
    <row r="511" spans="1:6" x14ac:dyDescent="0.3">
      <c r="A511" t="s">
        <v>39</v>
      </c>
      <c r="B511" t="str">
        <f>TRIM(Indice2026!$R$3)</f>
        <v>Propiedad de la vivienda</v>
      </c>
      <c r="C511" s="59">
        <f>Indice2026!R42</f>
        <v>16.164769396932378</v>
      </c>
      <c r="D511" t="str">
        <f>TRIM(Indice2026!$R$5)</f>
        <v>Porcentaje de mujeres con propiedad o copropiedad legal de vivienda</v>
      </c>
      <c r="E511" t="str">
        <f>TRIM(Indice2026!$R$6)</f>
        <v>Porcentaje</v>
      </c>
      <c r="F511" t="s">
        <v>51</v>
      </c>
    </row>
    <row r="512" spans="1:6" x14ac:dyDescent="0.3">
      <c r="A512" t="s">
        <v>40</v>
      </c>
      <c r="B512" t="str">
        <f>TRIM(Indice2026!$R$3)</f>
        <v>Propiedad de la vivienda</v>
      </c>
      <c r="C512" s="59">
        <f>Indice2026!R43</f>
        <v>21.183413305359313</v>
      </c>
      <c r="D512" t="str">
        <f>TRIM(Indice2026!$R$5)</f>
        <v>Porcentaje de mujeres con propiedad o copropiedad legal de vivienda</v>
      </c>
      <c r="E512" t="str">
        <f>TRIM(Indice2026!$R$6)</f>
        <v>Porcentaje</v>
      </c>
      <c r="F512" t="s">
        <v>51</v>
      </c>
    </row>
    <row r="513" spans="1:6" x14ac:dyDescent="0.3">
      <c r="A513" t="s">
        <v>41</v>
      </c>
      <c r="B513" t="str">
        <f>TRIM(Indice2026!$R$3)</f>
        <v>Propiedad de la vivienda</v>
      </c>
      <c r="C513" s="59">
        <f>Indice2026!R44</f>
        <v>14.562865254592817</v>
      </c>
      <c r="D513" t="str">
        <f>TRIM(Indice2026!$R$5)</f>
        <v>Porcentaje de mujeres con propiedad o copropiedad legal de vivienda</v>
      </c>
      <c r="E513" t="str">
        <f>TRIM(Indice2026!$R$6)</f>
        <v>Porcentaje</v>
      </c>
      <c r="F513" t="s">
        <v>51</v>
      </c>
    </row>
    <row r="514" spans="1:6" x14ac:dyDescent="0.3">
      <c r="A514" t="s">
        <v>7</v>
      </c>
      <c r="B514" t="str">
        <f>TRIM(Indice2026!$B$3)</f>
        <v>Tasa de participación económica femenina</v>
      </c>
      <c r="C514" s="59">
        <f>Indice2026!B13</f>
        <v>44.374303511269432</v>
      </c>
      <c r="D514" t="str">
        <f>TRIM(Indice2026!$B$5)</f>
        <v>Mujeres de 15 años y más que tienen un empleo o que buscan uno</v>
      </c>
      <c r="E514" t="str">
        <f>TRIM(Indice2026!$B$6)</f>
        <v>Porcentaje</v>
      </c>
      <c r="F514" t="s">
        <v>141</v>
      </c>
    </row>
    <row r="515" spans="1:6" x14ac:dyDescent="0.3">
      <c r="A515" t="s">
        <v>12</v>
      </c>
      <c r="B515" t="str">
        <f>TRIM(Indice2026!$B$3)</f>
        <v>Tasa de participación económica femenina</v>
      </c>
      <c r="C515" s="59">
        <f>Indice2026!B14</f>
        <v>46.731800826321098</v>
      </c>
      <c r="D515" t="str">
        <f>TRIM(Indice2026!$B$5)</f>
        <v>Mujeres de 15 años y más que tienen un empleo o que buscan uno</v>
      </c>
      <c r="E515" t="str">
        <f>TRIM(Indice2026!$B$6)</f>
        <v>Porcentaje</v>
      </c>
      <c r="F515" t="s">
        <v>141</v>
      </c>
    </row>
    <row r="516" spans="1:6" x14ac:dyDescent="0.3">
      <c r="A516" t="s">
        <v>13</v>
      </c>
      <c r="B516" t="str">
        <f>TRIM(Indice2026!$B$3)</f>
        <v>Tasa de participación económica femenina</v>
      </c>
      <c r="C516" s="59">
        <f>Indice2026!B15</f>
        <v>55.838902467511012</v>
      </c>
      <c r="D516" t="str">
        <f>TRIM(Indice2026!$B$5)</f>
        <v>Mujeres de 15 años y más que tienen un empleo o que buscan uno</v>
      </c>
      <c r="E516" t="str">
        <f>TRIM(Indice2026!$B$6)</f>
        <v>Porcentaje</v>
      </c>
      <c r="F516" t="s">
        <v>141</v>
      </c>
    </row>
    <row r="517" spans="1:6" x14ac:dyDescent="0.3">
      <c r="A517" t="s">
        <v>14</v>
      </c>
      <c r="B517" t="str">
        <f>TRIM(Indice2026!$B$3)</f>
        <v>Tasa de participación económica femenina</v>
      </c>
      <c r="C517" s="59">
        <f>Indice2026!B16</f>
        <v>44.878432194508491</v>
      </c>
      <c r="D517" t="str">
        <f>TRIM(Indice2026!$B$5)</f>
        <v>Mujeres de 15 años y más que tienen un empleo o que buscan uno</v>
      </c>
      <c r="E517" t="str">
        <f>TRIM(Indice2026!$B$6)</f>
        <v>Porcentaje</v>
      </c>
      <c r="F517" t="s">
        <v>141</v>
      </c>
    </row>
    <row r="518" spans="1:6" x14ac:dyDescent="0.3">
      <c r="A518" t="s">
        <v>15</v>
      </c>
      <c r="B518" t="str">
        <f>TRIM(Indice2026!$B$3)</f>
        <v>Tasa de participación económica femenina</v>
      </c>
      <c r="C518" s="59">
        <f>Indice2026!B19</f>
        <v>32.469794350653949</v>
      </c>
      <c r="D518" t="str">
        <f>TRIM(Indice2026!$B$5)</f>
        <v>Mujeres de 15 años y más que tienen un empleo o que buscan uno</v>
      </c>
      <c r="E518" t="str">
        <f>TRIM(Indice2026!$B$6)</f>
        <v>Porcentaje</v>
      </c>
      <c r="F518" t="s">
        <v>141</v>
      </c>
    </row>
    <row r="519" spans="1:6" x14ac:dyDescent="0.3">
      <c r="A519" t="s">
        <v>16</v>
      </c>
      <c r="B519" t="str">
        <f>TRIM(Indice2026!$B$3)</f>
        <v>Tasa de participación económica femenina</v>
      </c>
      <c r="C519" s="59">
        <f>Indice2026!B20</f>
        <v>46.949908000859608</v>
      </c>
      <c r="D519" t="str">
        <f>TRIM(Indice2026!$B$5)</f>
        <v>Mujeres de 15 años y más que tienen un empleo o que buscan uno</v>
      </c>
      <c r="E519" t="str">
        <f>TRIM(Indice2026!$B$6)</f>
        <v>Porcentaje</v>
      </c>
      <c r="F519" t="s">
        <v>141</v>
      </c>
    </row>
    <row r="520" spans="1:6" x14ac:dyDescent="0.3">
      <c r="A520" t="s">
        <v>17</v>
      </c>
      <c r="B520" t="str">
        <f>TRIM(Indice2026!$B$3)</f>
        <v>Tasa de participación económica femenina</v>
      </c>
      <c r="C520" s="59">
        <f>Indice2026!B21</f>
        <v>54.699543599689918</v>
      </c>
      <c r="D520" t="str">
        <f>TRIM(Indice2026!$B$5)</f>
        <v>Mujeres de 15 años y más que tienen un empleo o que buscan uno</v>
      </c>
      <c r="E520" t="str">
        <f>TRIM(Indice2026!$B$6)</f>
        <v>Porcentaje</v>
      </c>
      <c r="F520" t="s">
        <v>141</v>
      </c>
    </row>
    <row r="521" spans="1:6" x14ac:dyDescent="0.3">
      <c r="A521" t="s">
        <v>18</v>
      </c>
      <c r="B521" t="str">
        <f>TRIM(Indice2026!$B$3)</f>
        <v>Tasa de participación económica femenina</v>
      </c>
      <c r="C521" s="59">
        <f>Indice2026!B17</f>
        <v>45.675182164660633</v>
      </c>
      <c r="D521" t="str">
        <f>TRIM(Indice2026!$B$5)</f>
        <v>Mujeres de 15 años y más que tienen un empleo o que buscan uno</v>
      </c>
      <c r="E521" t="str">
        <f>TRIM(Indice2026!$B$6)</f>
        <v>Porcentaje</v>
      </c>
      <c r="F521" t="s">
        <v>141</v>
      </c>
    </row>
    <row r="522" spans="1:6" x14ac:dyDescent="0.3">
      <c r="A522" t="s">
        <v>19</v>
      </c>
      <c r="B522" t="str">
        <f>TRIM(Indice2026!$B$3)</f>
        <v>Tasa de participación económica femenina</v>
      </c>
      <c r="C522" s="59">
        <f>Indice2026!B18</f>
        <v>56.564426972121886</v>
      </c>
      <c r="D522" t="str">
        <f>TRIM(Indice2026!$B$5)</f>
        <v>Mujeres de 15 años y más que tienen un empleo o que buscan uno</v>
      </c>
      <c r="E522" t="str">
        <f>TRIM(Indice2026!$B$6)</f>
        <v>Porcentaje</v>
      </c>
      <c r="F522" t="s">
        <v>141</v>
      </c>
    </row>
    <row r="523" spans="1:6" x14ac:dyDescent="0.3">
      <c r="A523" t="s">
        <v>20</v>
      </c>
      <c r="B523" t="str">
        <f>TRIM(Indice2026!$B$3)</f>
        <v>Tasa de participación económica femenina</v>
      </c>
      <c r="C523" s="59">
        <f>Indice2026!B22</f>
        <v>46.495426229847467</v>
      </c>
      <c r="D523" t="str">
        <f>TRIM(Indice2026!$B$5)</f>
        <v>Mujeres de 15 años y más que tienen un empleo o que buscan uno</v>
      </c>
      <c r="E523" t="str">
        <f>TRIM(Indice2026!$B$6)</f>
        <v>Porcentaje</v>
      </c>
      <c r="F523" t="s">
        <v>141</v>
      </c>
    </row>
    <row r="524" spans="1:6" x14ac:dyDescent="0.3">
      <c r="A524" t="s">
        <v>21</v>
      </c>
      <c r="B524" t="str">
        <f>TRIM(Indice2026!$B$3)</f>
        <v>Tasa de participación económica femenina</v>
      </c>
      <c r="C524" s="59">
        <f>Indice2026!B23</f>
        <v>46.171018678714162</v>
      </c>
      <c r="D524" t="str">
        <f>TRIM(Indice2026!$B$5)</f>
        <v>Mujeres de 15 años y más que tienen un empleo o que buscan uno</v>
      </c>
      <c r="E524" t="str">
        <f>TRIM(Indice2026!$B$6)</f>
        <v>Porcentaje</v>
      </c>
      <c r="F524" t="s">
        <v>141</v>
      </c>
    </row>
    <row r="525" spans="1:6" x14ac:dyDescent="0.3">
      <c r="A525" t="s">
        <v>22</v>
      </c>
      <c r="B525" t="str">
        <f>TRIM(Indice2026!$B$3)</f>
        <v>Tasa de participación económica femenina</v>
      </c>
      <c r="C525" s="59">
        <f>Indice2026!B24</f>
        <v>46.84404815489976</v>
      </c>
      <c r="D525" t="str">
        <f>TRIM(Indice2026!$B$5)</f>
        <v>Mujeres de 15 años y más que tienen un empleo o que buscan uno</v>
      </c>
      <c r="E525" t="str">
        <f>TRIM(Indice2026!$B$6)</f>
        <v>Porcentaje</v>
      </c>
      <c r="F525" t="s">
        <v>141</v>
      </c>
    </row>
    <row r="526" spans="1:6" x14ac:dyDescent="0.3">
      <c r="A526" t="s">
        <v>23</v>
      </c>
      <c r="B526" t="str">
        <f>TRIM(Indice2026!$B$3)</f>
        <v>Tasa de participación económica femenina</v>
      </c>
      <c r="C526" s="59">
        <f>Indice2026!B25</f>
        <v>48.027693566817561</v>
      </c>
      <c r="D526" t="str">
        <f>TRIM(Indice2026!$B$5)</f>
        <v>Mujeres de 15 años y más que tienen un empleo o que buscan uno</v>
      </c>
      <c r="E526" t="str">
        <f>TRIM(Indice2026!$B$6)</f>
        <v>Porcentaje</v>
      </c>
      <c r="F526" t="s">
        <v>141</v>
      </c>
    </row>
    <row r="527" spans="1:6" x14ac:dyDescent="0.3">
      <c r="A527" t="s">
        <v>24</v>
      </c>
      <c r="B527" t="str">
        <f>TRIM(Indice2026!$B$3)</f>
        <v>Tasa de participación económica femenina</v>
      </c>
      <c r="C527" s="59">
        <f>Indice2026!B26</f>
        <v>42.416721265071324</v>
      </c>
      <c r="D527" t="str">
        <f>TRIM(Indice2026!$B$5)</f>
        <v>Mujeres de 15 años y más que tienen un empleo o que buscan uno</v>
      </c>
      <c r="E527" t="str">
        <f>TRIM(Indice2026!$B$6)</f>
        <v>Porcentaje</v>
      </c>
      <c r="F527" t="s">
        <v>141</v>
      </c>
    </row>
    <row r="528" spans="1:6" x14ac:dyDescent="0.3">
      <c r="A528" t="s">
        <v>25</v>
      </c>
      <c r="B528" t="str">
        <f>TRIM(Indice2026!$B$3)</f>
        <v>Tasa de participación económica femenina</v>
      </c>
      <c r="C528" s="59">
        <f>Indice2026!B28</f>
        <v>45.226932490377749</v>
      </c>
      <c r="D528" t="str">
        <f>TRIM(Indice2026!$B$5)</f>
        <v>Mujeres de 15 años y más que tienen un empleo o que buscan uno</v>
      </c>
      <c r="E528" t="str">
        <f>TRIM(Indice2026!$B$6)</f>
        <v>Porcentaje</v>
      </c>
      <c r="F528" t="s">
        <v>141</v>
      </c>
    </row>
    <row r="529" spans="1:6" x14ac:dyDescent="0.3">
      <c r="A529" t="s">
        <v>26</v>
      </c>
      <c r="B529" t="str">
        <f>TRIM(Indice2026!$B$3)</f>
        <v>Tasa de participación económica femenina</v>
      </c>
      <c r="C529" s="59">
        <f>Indice2026!B29</f>
        <v>43.778406415358909</v>
      </c>
      <c r="D529" t="str">
        <f>TRIM(Indice2026!$B$5)</f>
        <v>Mujeres de 15 años y más que tienen un empleo o que buscan uno</v>
      </c>
      <c r="E529" t="str">
        <f>TRIM(Indice2026!$B$6)</f>
        <v>Porcentaje</v>
      </c>
      <c r="F529" t="s">
        <v>141</v>
      </c>
    </row>
    <row r="530" spans="1:6" x14ac:dyDescent="0.3">
      <c r="A530" t="s">
        <v>0</v>
      </c>
      <c r="B530" t="str">
        <f>TRIM(Indice2026!$B$3)</f>
        <v>Tasa de participación económica femenina</v>
      </c>
      <c r="C530" s="59">
        <f>Indice2026!B27</f>
        <v>44.251039680306</v>
      </c>
      <c r="D530" t="str">
        <f>TRIM(Indice2026!$B$5)</f>
        <v>Mujeres de 15 años y más que tienen un empleo o que buscan uno</v>
      </c>
      <c r="E530" t="str">
        <f>TRIM(Indice2026!$B$6)</f>
        <v>Porcentaje</v>
      </c>
      <c r="F530" t="s">
        <v>141</v>
      </c>
    </row>
    <row r="531" spans="1:6" x14ac:dyDescent="0.3">
      <c r="A531" t="s">
        <v>27</v>
      </c>
      <c r="B531" t="str">
        <f>TRIM(Indice2026!$B$3)</f>
        <v>Tasa de participación económica femenina</v>
      </c>
      <c r="C531" s="59">
        <f>Indice2026!B30</f>
        <v>54.044996843968597</v>
      </c>
      <c r="D531" t="str">
        <f>TRIM(Indice2026!$B$5)</f>
        <v>Mujeres de 15 años y más que tienen un empleo o que buscan uno</v>
      </c>
      <c r="E531" t="str">
        <f>TRIM(Indice2026!$B$6)</f>
        <v>Porcentaje</v>
      </c>
      <c r="F531" t="s">
        <v>141</v>
      </c>
    </row>
    <row r="532" spans="1:6" x14ac:dyDescent="0.3">
      <c r="A532" t="s">
        <v>28</v>
      </c>
      <c r="B532" t="str">
        <f>TRIM(Indice2026!$B$3)</f>
        <v>Tasa de participación económica femenina</v>
      </c>
      <c r="C532" s="59">
        <f>Indice2026!B31</f>
        <v>47.794348347815117</v>
      </c>
      <c r="D532" t="str">
        <f>TRIM(Indice2026!$B$5)</f>
        <v>Mujeres de 15 años y más que tienen un empleo o que buscan uno</v>
      </c>
      <c r="E532" t="str">
        <f>TRIM(Indice2026!$B$6)</f>
        <v>Porcentaje</v>
      </c>
      <c r="F532" t="s">
        <v>141</v>
      </c>
    </row>
    <row r="533" spans="1:6" x14ac:dyDescent="0.3">
      <c r="A533" t="s">
        <v>29</v>
      </c>
      <c r="B533" t="str">
        <f>TRIM(Indice2026!$B$3)</f>
        <v>Tasa de participación económica femenina</v>
      </c>
      <c r="C533" s="59">
        <f>Indice2026!B32</f>
        <v>45.425954030975149</v>
      </c>
      <c r="D533" t="str">
        <f>TRIM(Indice2026!$B$5)</f>
        <v>Mujeres de 15 años y más que tienen un empleo o que buscan uno</v>
      </c>
      <c r="E533" t="str">
        <f>TRIM(Indice2026!$B$6)</f>
        <v>Porcentaje</v>
      </c>
      <c r="F533" t="s">
        <v>141</v>
      </c>
    </row>
    <row r="534" spans="1:6" x14ac:dyDescent="0.3">
      <c r="A534" t="s">
        <v>30</v>
      </c>
      <c r="B534" t="str">
        <f>TRIM(Indice2026!$B$3)</f>
        <v>Tasa de participación económica femenina</v>
      </c>
      <c r="C534" s="59">
        <f>Indice2026!B33</f>
        <v>48.220776576415872</v>
      </c>
      <c r="D534" t="str">
        <f>TRIM(Indice2026!$B$5)</f>
        <v>Mujeres de 15 años y más que tienen un empleo o que buscan uno</v>
      </c>
      <c r="E534" t="str">
        <f>TRIM(Indice2026!$B$6)</f>
        <v>Porcentaje</v>
      </c>
      <c r="F534" t="s">
        <v>141</v>
      </c>
    </row>
    <row r="535" spans="1:6" x14ac:dyDescent="0.3">
      <c r="A535" t="s">
        <v>31</v>
      </c>
      <c r="B535" t="str">
        <f>TRIM(Indice2026!$B$3)</f>
        <v>Tasa de participación económica femenina</v>
      </c>
      <c r="C535" s="59">
        <f>Indice2026!B34</f>
        <v>49.552251782298725</v>
      </c>
      <c r="D535" t="str">
        <f>TRIM(Indice2026!$B$5)</f>
        <v>Mujeres de 15 años y más que tienen un empleo o que buscan uno</v>
      </c>
      <c r="E535" t="str">
        <f>TRIM(Indice2026!$B$6)</f>
        <v>Porcentaje</v>
      </c>
      <c r="F535" t="s">
        <v>141</v>
      </c>
    </row>
    <row r="536" spans="1:6" x14ac:dyDescent="0.3">
      <c r="A536" t="s">
        <v>32</v>
      </c>
      <c r="B536" t="str">
        <f>TRIM(Indice2026!$B$3)</f>
        <v>Tasa de participación económica femenina</v>
      </c>
      <c r="C536" s="59">
        <f>Indice2026!B35</f>
        <v>51.963243930770872</v>
      </c>
      <c r="D536" t="str">
        <f>TRIM(Indice2026!$B$5)</f>
        <v>Mujeres de 15 años y más que tienen un empleo o que buscan uno</v>
      </c>
      <c r="E536" t="str">
        <f>TRIM(Indice2026!$B$6)</f>
        <v>Porcentaje</v>
      </c>
      <c r="F536" t="s">
        <v>141</v>
      </c>
    </row>
    <row r="537" spans="1:6" x14ac:dyDescent="0.3">
      <c r="A537" t="s">
        <v>33</v>
      </c>
      <c r="B537" t="str">
        <f>TRIM(Indice2026!$B$3)</f>
        <v>Tasa de participación económica femenina</v>
      </c>
      <c r="C537" s="59">
        <f>Indice2026!B36</f>
        <v>43.197965632806543</v>
      </c>
      <c r="D537" t="str">
        <f>TRIM(Indice2026!$B$5)</f>
        <v>Mujeres de 15 años y más que tienen un empleo o que buscan uno</v>
      </c>
      <c r="E537" t="str">
        <f>TRIM(Indice2026!$B$6)</f>
        <v>Porcentaje</v>
      </c>
      <c r="F537" t="s">
        <v>141</v>
      </c>
    </row>
    <row r="538" spans="1:6" x14ac:dyDescent="0.3">
      <c r="A538" t="s">
        <v>34</v>
      </c>
      <c r="B538" t="str">
        <f>TRIM(Indice2026!$B$3)</f>
        <v>Tasa de participación económica femenina</v>
      </c>
      <c r="C538" s="59">
        <f>Indice2026!B37</f>
        <v>46.633525763553905</v>
      </c>
      <c r="D538" t="str">
        <f>TRIM(Indice2026!$B$5)</f>
        <v>Mujeres de 15 años y más que tienen un empleo o que buscan uno</v>
      </c>
      <c r="E538" t="str">
        <f>TRIM(Indice2026!$B$6)</f>
        <v>Porcentaje</v>
      </c>
      <c r="F538" t="s">
        <v>141</v>
      </c>
    </row>
    <row r="539" spans="1:6" x14ac:dyDescent="0.3">
      <c r="A539" t="s">
        <v>35</v>
      </c>
      <c r="B539" t="str">
        <f>TRIM(Indice2026!$B$3)</f>
        <v>Tasa de participación económica femenina</v>
      </c>
      <c r="C539" s="59">
        <f>Indice2026!B38</f>
        <v>51.444808037166943</v>
      </c>
      <c r="D539" t="str">
        <f>TRIM(Indice2026!$B$5)</f>
        <v>Mujeres de 15 años y más que tienen un empleo o que buscan uno</v>
      </c>
      <c r="E539" t="str">
        <f>TRIM(Indice2026!$B$6)</f>
        <v>Porcentaje</v>
      </c>
      <c r="F539" t="s">
        <v>141</v>
      </c>
    </row>
    <row r="540" spans="1:6" x14ac:dyDescent="0.3">
      <c r="A540" t="s">
        <v>36</v>
      </c>
      <c r="B540" t="str">
        <f>TRIM(Indice2026!$B$3)</f>
        <v>Tasa de participación económica femenina</v>
      </c>
      <c r="C540" s="59">
        <f>Indice2026!B39</f>
        <v>42.285860644885467</v>
      </c>
      <c r="D540" t="str">
        <f>TRIM(Indice2026!$B$5)</f>
        <v>Mujeres de 15 años y más que tienen un empleo o que buscan uno</v>
      </c>
      <c r="E540" t="str">
        <f>TRIM(Indice2026!$B$6)</f>
        <v>Porcentaje</v>
      </c>
      <c r="F540" t="s">
        <v>141</v>
      </c>
    </row>
    <row r="541" spans="1:6" x14ac:dyDescent="0.3">
      <c r="A541" t="s">
        <v>37</v>
      </c>
      <c r="B541" t="str">
        <f>TRIM(Indice2026!$B$3)</f>
        <v>Tasa de participación económica femenina</v>
      </c>
      <c r="C541" s="59">
        <f>Indice2026!B40</f>
        <v>46.549887189771873</v>
      </c>
      <c r="D541" t="str">
        <f>TRIM(Indice2026!$B$5)</f>
        <v>Mujeres de 15 años y más que tienen un empleo o que buscan uno</v>
      </c>
      <c r="E541" t="str">
        <f>TRIM(Indice2026!$B$6)</f>
        <v>Porcentaje</v>
      </c>
      <c r="F541" t="s">
        <v>141</v>
      </c>
    </row>
    <row r="542" spans="1:6" x14ac:dyDescent="0.3">
      <c r="A542" t="s">
        <v>38</v>
      </c>
      <c r="B542" t="str">
        <f>TRIM(Indice2026!$B$3)</f>
        <v>Tasa de participación económica femenina</v>
      </c>
      <c r="C542" s="59">
        <f>Indice2026!B41</f>
        <v>49.31996509813716</v>
      </c>
      <c r="D542" t="str">
        <f>TRIM(Indice2026!$B$5)</f>
        <v>Mujeres de 15 años y más que tienen un empleo o que buscan uno</v>
      </c>
      <c r="E542" t="str">
        <f>TRIM(Indice2026!$B$6)</f>
        <v>Porcentaje</v>
      </c>
      <c r="F542" t="s">
        <v>141</v>
      </c>
    </row>
    <row r="543" spans="1:6" x14ac:dyDescent="0.3">
      <c r="A543" t="s">
        <v>39</v>
      </c>
      <c r="B543" t="str">
        <f>TRIM(Indice2026!$B$3)</f>
        <v>Tasa de participación económica femenina</v>
      </c>
      <c r="C543" s="59">
        <f>Indice2026!B42</f>
        <v>36.298196250639151</v>
      </c>
      <c r="D543" t="str">
        <f>TRIM(Indice2026!$B$5)</f>
        <v>Mujeres de 15 años y más que tienen un empleo o que buscan uno</v>
      </c>
      <c r="E543" t="str">
        <f>TRIM(Indice2026!$B$6)</f>
        <v>Porcentaje</v>
      </c>
      <c r="F543" t="s">
        <v>141</v>
      </c>
    </row>
    <row r="544" spans="1:6" x14ac:dyDescent="0.3">
      <c r="A544" t="s">
        <v>40</v>
      </c>
      <c r="B544" t="str">
        <f>TRIM(Indice2026!$B$3)</f>
        <v>Tasa de participación económica femenina</v>
      </c>
      <c r="C544" s="59">
        <f>Indice2026!B43</f>
        <v>53.349186376546733</v>
      </c>
      <c r="D544" t="str">
        <f>TRIM(Indice2026!$B$5)</f>
        <v>Mujeres de 15 años y más que tienen un empleo o que buscan uno</v>
      </c>
      <c r="E544" t="str">
        <f>TRIM(Indice2026!$B$6)</f>
        <v>Porcentaje</v>
      </c>
      <c r="F544" t="s">
        <v>141</v>
      </c>
    </row>
    <row r="545" spans="1:6" x14ac:dyDescent="0.3">
      <c r="A545" t="s">
        <v>41</v>
      </c>
      <c r="B545" t="str">
        <f>TRIM(Indice2026!$B$3)</f>
        <v>Tasa de participación económica femenina</v>
      </c>
      <c r="C545" s="59">
        <f>Indice2026!B44</f>
        <v>40.711479754142857</v>
      </c>
      <c r="D545" t="str">
        <f>TRIM(Indice2026!$B$5)</f>
        <v>Mujeres de 15 años y más que tienen un empleo o que buscan uno</v>
      </c>
      <c r="E545" t="str">
        <f>TRIM(Indice2026!$B$6)</f>
        <v>Porcentaje</v>
      </c>
      <c r="F54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Monitor_2025</vt:lpstr>
      <vt:lpstr>Indice2026</vt:lpstr>
      <vt:lpstr>Monitor_2026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Corona</dc:creator>
  <cp:lastModifiedBy>Sebastian Corona</cp:lastModifiedBy>
  <dcterms:created xsi:type="dcterms:W3CDTF">2026-07-06T19:19:54Z</dcterms:created>
  <dcterms:modified xsi:type="dcterms:W3CDTF">2026-07-06T19:41:33Z</dcterms:modified>
</cp:coreProperties>
</file>