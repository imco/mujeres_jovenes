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Índice" sheetId="1" state="visible" r:id="rId3"/>
    <sheet name="Ingreso por hora" sheetId="2" state="visible" r:id="rId4"/>
    <sheet name="Estado" sheetId="3" state="visible" r:id="rId5"/>
    <sheet name="Duración de la jornada laboral" sheetId="4" state="visible" r:id="rId6"/>
    <sheet name="Nivel de ingresos" sheetId="5" state="visible" r:id="rId7"/>
    <sheet name="Condición de Informalidad" sheetId="6" state="visible" r:id="rId8"/>
    <sheet name="Nivel de ocupación" sheetId="7" state="visible" r:id="rId9"/>
    <sheet name="Escolaridad" sheetId="8" state="visible" r:id="rId10"/>
    <sheet name="Edad" sheetId="9" state="visible" r:id="rId11"/>
    <sheet name="Maternidad y paternidad" sheetId="10" state="visible" r:id="rId12"/>
    <sheet name="Jornada_x_Informalidad" sheetId="11" state="visible" r:id="rId13"/>
    <sheet name="Jornada_x_Edad" sheetId="12" state="visible" r:id="rId14"/>
    <sheet name="Jornada_x_Escolaridad" sheetId="13" state="visible" r:id="rId15"/>
    <sheet name="Jornada_x_Ocupación" sheetId="14" state="visible" r:id="rId16"/>
    <sheet name="Informalidad_x_Edad" sheetId="15" state="visible" r:id="rId17"/>
    <sheet name="Informalidad_x_Escolaridad" sheetId="16" state="visible" r:id="rId18"/>
    <sheet name="Informalidad_x_Ocupación" sheetId="17" state="visible" r:id="rId19"/>
    <sheet name="Escolaridad_x_Edad" sheetId="18" state="visible" r:id="rId20"/>
    <sheet name="Maternidad_x_Jornada" sheetId="19" state="visible" r:id="rId21"/>
    <sheet name="Maternidad_x_Informalidad" sheetId="20" state="visible" r:id="rId22"/>
    <sheet name="Maternidad_x_Edad" sheetId="21" state="visible" r:id="rId23"/>
    <sheet name="Maternidad_x_Escolaridad" sheetId="22" state="visible" r:id="rId24"/>
    <sheet name="Maternidad_x_Ocupación" sheetId="23" state="visible" r:id="rId2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<sst xmlns="http://schemas.openxmlformats.org/spreadsheetml/2006/main" count="1174" uniqueCount="131">
  <si>
    <t xml:space="preserve">  Índice de cortes — Base del monitor de brecha salarial</t>
  </si>
  <si>
    <t xml:space="preserve">#</t>
  </si>
  <si>
    <t xml:space="preserve">Hoja</t>
  </si>
  <si>
    <t xml:space="preserve">Tipo de corte</t>
  </si>
  <si>
    <t xml:space="preserve">Corte 1</t>
  </si>
  <si>
    <t xml:space="preserve">Corte 2</t>
  </si>
  <si>
    <t xml:space="preserve">Filas</t>
  </si>
  <si>
    <t xml:space="preserve">Filas no representativas (repr_95 = FALSO)</t>
  </si>
  <si>
    <t xml:space="preserve">Nivel de ingresos</t>
  </si>
  <si>
    <t xml:space="preserve">Único</t>
  </si>
  <si>
    <t xml:space="preserve">—</t>
  </si>
  <si>
    <t xml:space="preserve">Ingreso por hora</t>
  </si>
  <si>
    <t xml:space="preserve">Estado</t>
  </si>
  <si>
    <t xml:space="preserve">Duración de la jornada laboral</t>
  </si>
  <si>
    <t xml:space="preserve">Condición de Informalidad</t>
  </si>
  <si>
    <t xml:space="preserve">Condición de formalidad</t>
  </si>
  <si>
    <t xml:space="preserve">Nivel de ocupación</t>
  </si>
  <si>
    <t xml:space="preserve">Escolaridad</t>
  </si>
  <si>
    <t xml:space="preserve">Nivel educativo</t>
  </si>
  <si>
    <t xml:space="preserve">Edad</t>
  </si>
  <si>
    <t xml:space="preserve">Maternidad y paternidad</t>
  </si>
  <si>
    <t xml:space="preserve">Jornada_x_Informalidad</t>
  </si>
  <si>
    <t xml:space="preserve">Combinado</t>
  </si>
  <si>
    <t xml:space="preserve">Jornada_x_Edad</t>
  </si>
  <si>
    <t xml:space="preserve">Jornada_x_Escolaridad</t>
  </si>
  <si>
    <t xml:space="preserve">Jornada_x_Ocupación</t>
  </si>
  <si>
    <t xml:space="preserve">Informalidad_x_Edad</t>
  </si>
  <si>
    <t xml:space="preserve">Informalidad_x_Escolaridad</t>
  </si>
  <si>
    <t xml:space="preserve">Informalidad_x_Ocupación</t>
  </si>
  <si>
    <t xml:space="preserve">Escolaridad_x_Edad</t>
  </si>
  <si>
    <t xml:space="preserve">Maternidad_x_Jornada</t>
  </si>
  <si>
    <t xml:space="preserve">Maternidad_x_Informalidad</t>
  </si>
  <si>
    <t xml:space="preserve">Maternidad_x_Edad</t>
  </si>
  <si>
    <t xml:space="preserve">Maternidad_x_Escolaridad</t>
  </si>
  <si>
    <t xml:space="preserve">Maternidad_x_Ocupación</t>
  </si>
  <si>
    <t xml:space="preserve">Valor que cambió respecto a la versión revisada por Fer (23/09/2026): nueva clasificación de ocupaciones y exclusión del código 9999.</t>
  </si>
  <si>
    <t xml:space="preserve">Ingreso promedio</t>
  </si>
  <si>
    <t xml:space="preserve">Ingreso mediano</t>
  </si>
  <si>
    <t xml:space="preserve">Validación estadistica</t>
  </si>
  <si>
    <t xml:space="preserve">← Volver al índice</t>
  </si>
  <si>
    <t xml:space="preserve">entidad</t>
  </si>
  <si>
    <t xml:space="preserve">corte_valor</t>
  </si>
  <si>
    <t xml:space="preserve">ing_media</t>
  </si>
  <si>
    <t xml:space="preserve">ing_media_m</t>
  </si>
  <si>
    <t xml:space="preserve">ing_media_h</t>
  </si>
  <si>
    <t xml:space="preserve">brecha_media</t>
  </si>
  <si>
    <t xml:space="preserve">ing_mediana</t>
  </si>
  <si>
    <t xml:space="preserve">ing_mediana_m</t>
  </si>
  <si>
    <t xml:space="preserve">ing_mediana_h</t>
  </si>
  <si>
    <t xml:space="preserve">brecha_mediana</t>
  </si>
  <si>
    <t xml:space="preserve">n_min_m_95</t>
  </si>
  <si>
    <t xml:space="preserve">n_min_h_95</t>
  </si>
  <si>
    <t xml:space="preserve">repr_95</t>
  </si>
  <si>
    <t xml:space="preserve">Nacional</t>
  </si>
  <si>
    <t xml:space="preserve">Tiempo completo</t>
  </si>
  <si>
    <t xml:space="preserve">Tiempo parcial</t>
  </si>
  <si>
    <t xml:space="preserve">Total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</si>
  <si>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</si>
  <si>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</si>
  <si>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</si>
  <si>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</si>
  <si>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</si>
  <si>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</si>
  <si>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</si>
  <si>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</si>
  <si>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</si>
  <si>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</si>
  <si>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</si>
  <si>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</si>
  <si>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</si>
  <si>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</si>
  <si>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</si>
  <si>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</si>
  <si>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</si>
  <si>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</si>
  <si>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</si>
  <si>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</si>
  <si>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</si>
  <si>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</si>
  <si>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</si>
  <si>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</si>
  <si>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</si>
  <si>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</si>
  <si>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</si>
  <si>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</si>
  <si>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</si>
  <si>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</si>
  <si>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</si>
  <si>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</si>
  <si>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Percentiles 25 y 75</t>
  </si>
  <si>
    <t xml:space="preserve">ing_p25</t>
  </si>
  <si>
    <t xml:space="preserve">ing_p25_m</t>
  </si>
  <si>
    <t xml:space="preserve">ing_p25_h</t>
  </si>
  <si>
    <t xml:space="preserve">ing_p75</t>
  </si>
  <si>
    <t xml:space="preserve">ing_p75_m</t>
  </si>
  <si>
    <t xml:space="preserve">ing_p75_h</t>
  </si>
  <si>
    <t xml:space="preserve">Empleo formal</t>
  </si>
  <si>
    <t xml:space="preserve">Empleo informal</t>
  </si>
  <si>
    <t xml:space="preserve">1a - Directivos / Mando alto</t>
  </si>
  <si>
    <t xml:space="preserve">1b - Mando medio</t>
  </si>
  <si>
    <t xml:space="preserve">2a - Profesionistas</t>
  </si>
  <si>
    <t xml:space="preserve">2b - Auxiliares y técnicos</t>
  </si>
  <si>
    <t xml:space="preserve">3a - Supervisión operativa</t>
  </si>
  <si>
    <t xml:space="preserve">3b - Oficio especializado</t>
  </si>
  <si>
    <t xml:space="preserve">3c - Oficio básico</t>
  </si>
  <si>
    <t xml:space="preserve">3d - Personal operativo</t>
  </si>
  <si>
    <t xml:space="preserve">*Clasificación de ocupaciones propia del IMCO a partir del SINCO; el código 9999 (ocupaciones no especificadas) se excluye. Ver nota metodológica.</t>
  </si>
  <si>
    <t xml:space="preserve">Primaria o menos</t>
  </si>
  <si>
    <t xml:space="preserve">Secundaria</t>
  </si>
  <si>
    <t xml:space="preserve">Media superior</t>
  </si>
  <si>
    <t xml:space="preserve">Carrera técnica/comercial</t>
  </si>
  <si>
    <t xml:space="preserve">Profesional (licenciatura)</t>
  </si>
  <si>
    <t xml:space="preserve">Posgrado</t>
  </si>
  <si>
    <t xml:space="preserve">15-19</t>
  </si>
  <si>
    <t xml:space="preserve">20-29</t>
  </si>
  <si>
    <t xml:space="preserve">30-39</t>
  </si>
  <si>
    <t xml:space="preserve">40-49</t>
  </si>
  <si>
    <t xml:space="preserve">50-59</t>
  </si>
  <si>
    <t xml:space="preserve">60+</t>
  </si>
  <si>
    <t xml:space="preserve">Sin hijos</t>
  </si>
  <si>
    <t xml:space="preserve">Con hijos</t>
  </si>
  <si>
    <t xml:space="preserve">Condición de informalidad</t>
  </si>
  <si>
    <t xml:space="preserve">Tamaño de muestra (referencia)</t>
  </si>
  <si>
    <t xml:space="preserve">corte_valor_1</t>
  </si>
  <si>
    <t xml:space="preserve">corte_valor_2</t>
  </si>
  <si>
    <t xml:space="preserve">n</t>
  </si>
  <si>
    <t xml:space="preserve">n_m</t>
  </si>
  <si>
    <t xml:space="preserve">n_h</t>
  </si>
  <si>
    <t xml:space="preserve">n_pob</t>
  </si>
  <si>
    <t xml:space="preserve">n_pob_m</t>
  </si>
  <si>
    <t xml:space="preserve">n_pob_h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</si>
</sst>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0.0%"/>
    <numFmt numFmtId="167" formatCode="\$#,##0.00"/>
    <numFmt numFmtId="168" formatCode="0.00%"/>
    <numFmt numFmtId="169" formatCode="General"/>
    <numFmt numFmtId="170" formatCode="#,##0.00"/>
    <numFmt numFmtId="171" formatCode="0%"/>
    <numFmt numFmtId="172" formatCode="\$#,##0.0"/>
    <numFmt numFmtId="173" formatCode="#,##0"/>
  </numFmts>
  <fonts count="12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u val="single"/>
      <sz val="11"/>
      <color rgb="FF0000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7F79FB"/>
        <bgColor rgb="FF666699"/>
      </patternFill>
    </fill>
    <fill>
      <patternFill patternType="solid">
        <fgColor rgb="FF93C47D"/>
        <bgColor rgb="FF999999"/>
      </patternFill>
    </fill>
    <fill>
      <patternFill patternType="solid">
        <fgColor rgb="FFF4CCCC"/>
        <bgColor rgb="FFD9EAD3"/>
      </patternFill>
    </fill>
    <fill>
      <patternFill patternType="solid">
        <fgColor rgb="FFFFD966"/>
        <bgColor rgb="FFFFCC00"/>
      </patternFill>
    </fill>
    <fill>
      <patternFill patternType="solid">
        <fgColor rgb="FF999999"/>
        <bgColor rgb="FF808080"/>
      </patternFill>
    </fill>
    <fill>
      <patternFill patternType="solid">
        <fgColor rgb="FFF3F3F3"/>
        <bgColor rgb="FFFFFFFF"/>
      </patternFill>
    </fill>
    <fill>
      <patternFill patternType="solid">
        <fgColor rgb="FFD9EAD3"/>
        <bgColor rgb="FFF3F3F3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6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7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7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7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7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7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8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7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8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7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8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6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7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7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9" fillId="5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5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5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9" fillId="5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9" fillId="5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5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5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5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5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8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9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7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9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5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5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5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7F79FB"/>
      <rgbColor rgb="FF993366"/>
      <rgbColor rgb="FFF3F3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D96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5" min="4" style="0" width="30"/>
    <col collapsed="false" customWidth="true" hidden="false" outlineLevel="0" max="6" min="6" style="0" width="8"/>
    <col collapsed="false" customWidth="true" hidden="false" outlineLevel="0" max="7" min="7" style="0" width="41.71"/>
    <col collapsed="false" customWidth="true" hidden="false" outlineLevel="0" max="26" min="8" style="0" width="8.71"/>
  </cols>
  <sheetData>
    <row r="1" customFormat="false" ht="36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31.5" hidden="false" customHeight="true" outlineLevel="0" collapsed="false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6" t="n">
        <v>1</v>
      </c>
      <c r="B4" s="7" t="s">
        <v>8</v>
      </c>
      <c r="C4" s="6" t="s">
        <v>9</v>
      </c>
      <c r="D4" s="6" t="s">
        <v>8</v>
      </c>
      <c r="E4" s="6" t="s">
        <v>10</v>
      </c>
      <c r="F4" s="6" t="n">
        <v>1</v>
      </c>
      <c r="G4" s="6" t="n"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6" t="n">
        <v>2</v>
      </c>
      <c r="B5" s="7" t="s">
        <v>11</v>
      </c>
      <c r="C5" s="6" t="s">
        <v>9</v>
      </c>
      <c r="D5" s="6" t="s">
        <v>11</v>
      </c>
      <c r="E5" s="6" t="s">
        <v>10</v>
      </c>
      <c r="F5" s="6" t="n">
        <v>3</v>
      </c>
      <c r="G5" s="6" t="n">
        <v>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6" t="n">
        <v>3</v>
      </c>
      <c r="B6" s="7" t="s">
        <v>12</v>
      </c>
      <c r="C6" s="6" t="s">
        <v>9</v>
      </c>
      <c r="D6" s="6" t="s">
        <v>12</v>
      </c>
      <c r="E6" s="6" t="s">
        <v>10</v>
      </c>
      <c r="F6" s="6" t="n">
        <v>33</v>
      </c>
      <c r="G6" s="6" t="n"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n">
        <v>4</v>
      </c>
      <c r="B7" s="7" t="s">
        <v>13</v>
      </c>
      <c r="C7" s="6" t="s">
        <v>9</v>
      </c>
      <c r="D7" s="6" t="s">
        <v>13</v>
      </c>
      <c r="E7" s="6" t="s">
        <v>10</v>
      </c>
      <c r="F7" s="6" t="n">
        <v>2</v>
      </c>
      <c r="G7" s="6" t="n"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n">
        <v>5</v>
      </c>
      <c r="B8" s="7" t="s">
        <v>14</v>
      </c>
      <c r="C8" s="6" t="s">
        <v>9</v>
      </c>
      <c r="D8" s="6" t="s">
        <v>15</v>
      </c>
      <c r="E8" s="6" t="s">
        <v>10</v>
      </c>
      <c r="F8" s="6" t="n">
        <v>2</v>
      </c>
      <c r="G8" s="6" t="n">
        <v>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n">
        <v>6</v>
      </c>
      <c r="B9" s="7" t="s">
        <v>16</v>
      </c>
      <c r="C9" s="6" t="s">
        <v>9</v>
      </c>
      <c r="D9" s="6" t="s">
        <v>16</v>
      </c>
      <c r="E9" s="6" t="s">
        <v>10</v>
      </c>
      <c r="F9" s="6" t="n">
        <v>8</v>
      </c>
      <c r="G9" s="6" t="n">
        <v>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n">
        <v>7</v>
      </c>
      <c r="B10" s="7" t="s">
        <v>17</v>
      </c>
      <c r="C10" s="6" t="s">
        <v>9</v>
      </c>
      <c r="D10" s="6" t="s">
        <v>18</v>
      </c>
      <c r="E10" s="6" t="s">
        <v>10</v>
      </c>
      <c r="F10" s="6" t="n">
        <v>6</v>
      </c>
      <c r="G10" s="6" t="n">
        <v>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n">
        <v>8</v>
      </c>
      <c r="B11" s="7" t="s">
        <v>19</v>
      </c>
      <c r="C11" s="6" t="s">
        <v>9</v>
      </c>
      <c r="D11" s="6" t="s">
        <v>19</v>
      </c>
      <c r="E11" s="6" t="s">
        <v>10</v>
      </c>
      <c r="F11" s="6" t="n">
        <v>6</v>
      </c>
      <c r="G11" s="6" t="n">
        <v>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n">
        <v>9</v>
      </c>
      <c r="B12" s="7" t="s">
        <v>20</v>
      </c>
      <c r="C12" s="6" t="s">
        <v>9</v>
      </c>
      <c r="D12" s="6" t="s">
        <v>20</v>
      </c>
      <c r="E12" s="6" t="s">
        <v>10</v>
      </c>
      <c r="F12" s="6" t="n">
        <v>2</v>
      </c>
      <c r="G12" s="6" t="n">
        <v>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n">
        <v>10</v>
      </c>
      <c r="B13" s="7" t="s">
        <v>21</v>
      </c>
      <c r="C13" s="6" t="s">
        <v>22</v>
      </c>
      <c r="D13" s="6" t="s">
        <v>13</v>
      </c>
      <c r="E13" s="6" t="s">
        <v>15</v>
      </c>
      <c r="F13" s="6" t="n">
        <v>4</v>
      </c>
      <c r="G13" s="6" t="n">
        <v>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n">
        <v>11</v>
      </c>
      <c r="B14" s="7" t="s">
        <v>23</v>
      </c>
      <c r="C14" s="6" t="s">
        <v>22</v>
      </c>
      <c r="D14" s="6" t="s">
        <v>13</v>
      </c>
      <c r="E14" s="6" t="s">
        <v>19</v>
      </c>
      <c r="F14" s="6" t="n">
        <v>12</v>
      </c>
      <c r="G14" s="6" t="n">
        <v>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n">
        <v>12</v>
      </c>
      <c r="B15" s="7" t="s">
        <v>24</v>
      </c>
      <c r="C15" s="6" t="s">
        <v>22</v>
      </c>
      <c r="D15" s="6" t="s">
        <v>13</v>
      </c>
      <c r="E15" s="6" t="s">
        <v>18</v>
      </c>
      <c r="F15" s="6" t="n">
        <v>12</v>
      </c>
      <c r="G15" s="8" t="n">
        <v>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n">
        <v>13</v>
      </c>
      <c r="B16" s="7" t="s">
        <v>25</v>
      </c>
      <c r="C16" s="6" t="s">
        <v>22</v>
      </c>
      <c r="D16" s="6" t="s">
        <v>13</v>
      </c>
      <c r="E16" s="6" t="s">
        <v>16</v>
      </c>
      <c r="F16" s="6" t="n">
        <v>16</v>
      </c>
      <c r="G16" s="8" t="n">
        <v>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6" t="n">
        <v>14</v>
      </c>
      <c r="B17" s="7" t="s">
        <v>26</v>
      </c>
      <c r="C17" s="6" t="s">
        <v>22</v>
      </c>
      <c r="D17" s="6" t="s">
        <v>15</v>
      </c>
      <c r="E17" s="6" t="s">
        <v>19</v>
      </c>
      <c r="F17" s="6" t="n">
        <v>12</v>
      </c>
      <c r="G17" s="6" t="n">
        <v>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6" t="n">
        <v>15</v>
      </c>
      <c r="B18" s="7" t="s">
        <v>27</v>
      </c>
      <c r="C18" s="6" t="s">
        <v>22</v>
      </c>
      <c r="D18" s="6" t="s">
        <v>15</v>
      </c>
      <c r="E18" s="6" t="s">
        <v>18</v>
      </c>
      <c r="F18" s="6" t="n">
        <v>12</v>
      </c>
      <c r="G18" s="8" t="n">
        <v>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6" t="n">
        <v>16</v>
      </c>
      <c r="B19" s="7" t="s">
        <v>28</v>
      </c>
      <c r="C19" s="6" t="s">
        <v>22</v>
      </c>
      <c r="D19" s="6" t="s">
        <v>15</v>
      </c>
      <c r="E19" s="6" t="s">
        <v>16</v>
      </c>
      <c r="F19" s="6" t="n">
        <v>16</v>
      </c>
      <c r="G19" s="8" t="n">
        <v>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6" t="n">
        <v>17</v>
      </c>
      <c r="B20" s="7" t="s">
        <v>29</v>
      </c>
      <c r="C20" s="6" t="s">
        <v>22</v>
      </c>
      <c r="D20" s="6" t="s">
        <v>18</v>
      </c>
      <c r="E20" s="6" t="s">
        <v>19</v>
      </c>
      <c r="F20" s="6" t="n">
        <v>35</v>
      </c>
      <c r="G20" s="8" t="n">
        <v>16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6" t="n">
        <v>18</v>
      </c>
      <c r="B21" s="7" t="s">
        <v>30</v>
      </c>
      <c r="C21" s="6" t="s">
        <v>22</v>
      </c>
      <c r="D21" s="6" t="s">
        <v>20</v>
      </c>
      <c r="E21" s="6" t="s">
        <v>13</v>
      </c>
      <c r="F21" s="6" t="n">
        <v>4</v>
      </c>
      <c r="G21" s="6" t="n">
        <v>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6" t="n">
        <v>19</v>
      </c>
      <c r="B22" s="7" t="s">
        <v>31</v>
      </c>
      <c r="C22" s="6" t="s">
        <v>22</v>
      </c>
      <c r="D22" s="6" t="s">
        <v>20</v>
      </c>
      <c r="E22" s="6" t="s">
        <v>15</v>
      </c>
      <c r="F22" s="6" t="n">
        <v>4</v>
      </c>
      <c r="G22" s="6" t="n">
        <v>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6" t="n">
        <v>20</v>
      </c>
      <c r="B23" s="7" t="s">
        <v>32</v>
      </c>
      <c r="C23" s="6" t="s">
        <v>22</v>
      </c>
      <c r="D23" s="6" t="s">
        <v>20</v>
      </c>
      <c r="E23" s="6" t="s">
        <v>19</v>
      </c>
      <c r="F23" s="6" t="n">
        <v>12</v>
      </c>
      <c r="G23" s="8" t="n">
        <v>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6" t="n">
        <v>21</v>
      </c>
      <c r="B24" s="7" t="s">
        <v>33</v>
      </c>
      <c r="C24" s="6" t="s">
        <v>22</v>
      </c>
      <c r="D24" s="6" t="s">
        <v>20</v>
      </c>
      <c r="E24" s="6" t="s">
        <v>18</v>
      </c>
      <c r="F24" s="6" t="n">
        <v>12</v>
      </c>
      <c r="G24" s="8" t="n">
        <v>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6" t="n">
        <v>22</v>
      </c>
      <c r="B25" s="7" t="s">
        <v>34</v>
      </c>
      <c r="C25" s="6" t="s">
        <v>22</v>
      </c>
      <c r="D25" s="6" t="s">
        <v>20</v>
      </c>
      <c r="E25" s="6" t="s">
        <v>16</v>
      </c>
      <c r="F25" s="6" t="n">
        <v>16</v>
      </c>
      <c r="G25" s="8" t="n">
        <v>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1" customFormat="false" ht="15" hidden="false" customHeight="false" outlineLevel="0" collapsed="false">
      <c r="A1001" s="9"/>
      <c r="B1001" s="10" t="s">
        <v>35</v>
      </c>
    </row>
  </sheetData>
  <mergeCells count="1">
    <mergeCell ref="A1:G1"/>
  </mergeCells>
  <hyperlinks>
    <hyperlink ref="B4" location="'Nivel de ingresos'!A1" display="Nivel de ingresos"/>
    <hyperlink ref="B5" location="'Ingreso por hora'!A1" display="Ingreso por hora"/>
    <hyperlink ref="B6" location="Estado!A1" display="Estado"/>
    <hyperlink ref="B7" location="'Duración de la jornada laboral'!A1" display="Duración de la jornada laboral"/>
    <hyperlink ref="B8" location="'Condición de Informalidad'!A1" display="Condición de Informalidad"/>
    <hyperlink ref="B9" location="'Nivel de ocupación'!A1" display="Nivel de ocupación"/>
    <hyperlink ref="B10" location="Escolaridad!A1" display="Escolaridad"/>
    <hyperlink ref="B11" location="Edad!A1" display="Edad"/>
    <hyperlink ref="B12" location="'Maternidad y paternidad'!A1" display="Maternidad y paternidad"/>
    <hyperlink ref="B13" location="Jornada_x_Informalidad!A1" display="Jornada_x_Informalidad"/>
    <hyperlink ref="B14" location="Jornada_x_Edad!A1" display="Jornada_x_Edad"/>
    <hyperlink ref="B15" location="Jornada_x_Escolaridad!A1" display="Jornada_x_Escolaridad"/>
    <hyperlink ref="B16" location="'Jornada_x_Ocupación'!A1" display="Jornada_x_Ocupación"/>
    <hyperlink ref="B17" location="Informalidad_x_Edad!A1" display="Informalidad_x_Edad"/>
    <hyperlink ref="B18" location="Informalidad_x_Escolaridad!A1" display="Informalidad_x_Escolaridad"/>
    <hyperlink ref="B19" location="'Informalidad_x_Ocupación'!A1" display="Informalidad_x_Ocupación"/>
    <hyperlink ref="B20" location="Escolaridad_x_Edad!A1" display="Escolaridad_x_Edad"/>
    <hyperlink ref="B21" location="Maternidad_x_Jornada!A1" display="Maternidad_x_Jornada"/>
    <hyperlink ref="B22" location="Maternidad_x_Informalidad!A1" display="Maternidad_x_Informalidad"/>
    <hyperlink ref="B23" location="Maternidad_x_Edad!A1" display="Maternidad_x_Edad"/>
    <hyperlink ref="B24" location="Maternidad_x_Escolaridad!A1" display="Maternidad_x_Escolaridad"/>
    <hyperlink ref="B25" location="'Maternidad_x_Ocupación'!A1" display="Maternidad_x_Ocupació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16.14"/>
    <col collapsed="false" customWidth="true" hidden="false" outlineLevel="0" max="3" min="3" style="0" width="15"/>
    <col collapsed="false" customWidth="true" hidden="false" outlineLevel="0" max="4" min="4" style="0" width="17.71"/>
    <col collapsed="false" customWidth="true" hidden="false" outlineLevel="0" max="5" min="5" style="0" width="17.15"/>
    <col collapsed="false" customWidth="true" hidden="false" outlineLevel="0" max="6" min="6" style="0" width="18.29"/>
    <col collapsed="false" customWidth="true" hidden="false" outlineLevel="0" max="7" min="7" style="0" width="17.15"/>
    <col collapsed="false" customWidth="true" hidden="false" outlineLevel="0" max="8" min="8" style="0" width="19.86"/>
    <col collapsed="false" customWidth="true" hidden="false" outlineLevel="0" max="9" min="9" style="0" width="19.29"/>
    <col collapsed="false" customWidth="true" hidden="false" outlineLevel="0" max="10" min="10" style="0" width="20.43"/>
    <col collapsed="false" customWidth="true" hidden="false" outlineLevel="0" max="11" min="11" style="0" width="10.71"/>
    <col collapsed="false" customWidth="true" hidden="false" outlineLevel="0" max="12" min="12" style="0" width="12.29"/>
    <col collapsed="false" customWidth="true" hidden="false" outlineLevel="0" max="13" min="13" style="0" width="7.86"/>
    <col collapsed="false" customWidth="true" hidden="false" outlineLevel="0" max="15" min="14" style="0" width="10.71"/>
  </cols>
  <sheetData>
    <row r="1" customFormat="false" ht="15" hidden="false" customHeight="false" outlineLevel="0" collapsed="false">
      <c r="A1" s="11"/>
      <c r="B1" s="12"/>
      <c r="C1" s="13" t="s">
        <v>36</v>
      </c>
      <c r="D1" s="13"/>
      <c r="E1" s="13"/>
      <c r="F1" s="13"/>
      <c r="G1" s="13" t="s">
        <v>37</v>
      </c>
      <c r="H1" s="13"/>
      <c r="I1" s="13"/>
      <c r="J1" s="13"/>
      <c r="K1" s="14" t="s">
        <v>38</v>
      </c>
      <c r="L1" s="14"/>
      <c r="M1" s="14"/>
      <c r="O1" s="15" t="s">
        <v>39</v>
      </c>
    </row>
    <row r="2" customFormat="false" ht="15" hidden="false" customHeight="false" outlineLevel="0" collapsed="false">
      <c r="A2" s="16" t="s">
        <v>40</v>
      </c>
      <c r="B2" s="17" t="s">
        <v>41</v>
      </c>
      <c r="C2" s="18" t="s">
        <v>42</v>
      </c>
      <c r="D2" s="19" t="s">
        <v>43</v>
      </c>
      <c r="E2" s="19" t="s">
        <v>44</v>
      </c>
      <c r="F2" s="20" t="s">
        <v>45</v>
      </c>
      <c r="G2" s="18" t="s">
        <v>46</v>
      </c>
      <c r="H2" s="19" t="s">
        <v>47</v>
      </c>
      <c r="I2" s="19" t="s">
        <v>48</v>
      </c>
      <c r="J2" s="20" t="s">
        <v>49</v>
      </c>
      <c r="K2" s="21" t="s">
        <v>50</v>
      </c>
      <c r="L2" s="21" t="s">
        <v>51</v>
      </c>
      <c r="M2" s="22" t="s">
        <v>52</v>
      </c>
    </row>
    <row r="3" customFormat="false" ht="15" hidden="false" customHeight="false" outlineLevel="0" collapsed="false">
      <c r="A3" s="23" t="s">
        <v>53</v>
      </c>
      <c r="B3" s="24" t="s">
        <v>54</v>
      </c>
      <c r="C3" s="25" t="n">
        <v>56.0639669332833</v>
      </c>
      <c r="D3" s="26" t="n">
        <v>53.125190467778</v>
      </c>
      <c r="E3" s="26" t="n">
        <v>57.6781173171037</v>
      </c>
      <c r="F3" s="27" t="n">
        <v>0.0789368145339166</v>
      </c>
      <c r="G3" s="25" t="n">
        <v>46</v>
      </c>
      <c r="H3" s="26" t="n">
        <v>43.60465</v>
      </c>
      <c r="I3" s="26" t="n">
        <v>47.91667</v>
      </c>
      <c r="J3" s="27" t="n">
        <v>0.0899899763485235</v>
      </c>
      <c r="K3" s="24" t="n">
        <v>322.682252287106</v>
      </c>
      <c r="L3" s="24" t="n">
        <v>322.687727642174</v>
      </c>
      <c r="M3" s="28" t="b">
        <f aca="false">TRUE()</f>
        <v>1</v>
      </c>
    </row>
    <row r="4" customFormat="false" ht="15" hidden="false" customHeight="false" outlineLevel="0" collapsed="false">
      <c r="A4" s="23" t="s">
        <v>53</v>
      </c>
      <c r="B4" s="24" t="s">
        <v>55</v>
      </c>
      <c r="C4" s="25" t="n">
        <v>88.196423647979</v>
      </c>
      <c r="D4" s="26" t="n">
        <v>81.8841704134716</v>
      </c>
      <c r="E4" s="26" t="n">
        <v>96.8653735810642</v>
      </c>
      <c r="F4" s="27" t="n">
        <v>0.154660046348298</v>
      </c>
      <c r="G4" s="25" t="n">
        <v>57.14286</v>
      </c>
      <c r="H4" s="26" t="n">
        <v>54.54545</v>
      </c>
      <c r="I4" s="26" t="n">
        <v>60</v>
      </c>
      <c r="J4" s="27" t="n">
        <v>0.0909091666666666</v>
      </c>
      <c r="K4" s="24" t="n">
        <v>322.673090007114</v>
      </c>
      <c r="L4" s="24" t="n">
        <v>322.665134585585</v>
      </c>
      <c r="M4" s="28" t="b">
        <f aca="false">TRUE()</f>
        <v>1</v>
      </c>
    </row>
    <row r="5" customFormat="false" ht="15" hidden="false" customHeight="false" outlineLevel="0" collapsed="false">
      <c r="A5" s="29" t="s">
        <v>53</v>
      </c>
      <c r="B5" s="30" t="s">
        <v>56</v>
      </c>
      <c r="C5" s="31" t="n">
        <v>64.3813163284197</v>
      </c>
      <c r="D5" s="32" t="n">
        <v>63.5667167243207</v>
      </c>
      <c r="E5" s="32" t="n">
        <v>64.9533731685402</v>
      </c>
      <c r="F5" s="33" t="n">
        <v>0.0213484901026066</v>
      </c>
      <c r="G5" s="31" t="n">
        <v>48.44961</v>
      </c>
      <c r="H5" s="32" t="n">
        <v>46.51163</v>
      </c>
      <c r="I5" s="32" t="n">
        <v>50</v>
      </c>
      <c r="J5" s="33" t="n">
        <v>0.0697674000000001</v>
      </c>
      <c r="K5" s="30" t="n">
        <v>322.686662652914</v>
      </c>
      <c r="L5" s="30" t="n">
        <v>322.688966368677</v>
      </c>
      <c r="M5" s="34" t="b">
        <f aca="false">TRUE()</f>
        <v>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C1:F1"/>
    <mergeCell ref="G1:J1"/>
    <mergeCell ref="K1:M1"/>
  </mergeCells>
  <hyperlinks>
    <hyperlink ref="O1" location="'Índice'!A1" display="← Volver al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6.57"/>
    <col collapsed="false" customWidth="true" hidden="false" outlineLevel="0" max="2" min="2" style="0" width="10.71"/>
    <col collapsed="false" customWidth="true" hidden="false" outlineLevel="0" max="3" min="3" style="0" width="12.71"/>
    <col collapsed="false" customWidth="true" hidden="false" outlineLevel="0" max="4" min="4" style="0" width="12.29"/>
    <col collapsed="false" customWidth="true" hidden="false" outlineLevel="0" max="5" min="5" style="0" width="15"/>
    <col collapsed="false" customWidth="true" hidden="false" outlineLevel="0" max="6" min="6" style="0" width="12.15"/>
    <col collapsed="false" customWidth="true" hidden="false" outlineLevel="0" max="7" min="7" style="0" width="14.86"/>
    <col collapsed="false" customWidth="true" hidden="false" outlineLevel="0" max="8" min="8" style="0" width="14.29"/>
    <col collapsed="false" customWidth="true" hidden="false" outlineLevel="0" max="11" min="9" style="0" width="15.43"/>
    <col collapsed="false" customWidth="true" hidden="false" outlineLevel="0" max="12" min="12" style="0" width="12.15"/>
    <col collapsed="false" customWidth="true" hidden="false" outlineLevel="0" max="14" min="14" style="0" width="20"/>
  </cols>
  <sheetData>
    <row r="1" customFormat="false" ht="15" hidden="false" customHeight="false" outlineLevel="0" collapsed="false">
      <c r="A1" s="17"/>
      <c r="B1" s="35" t="s">
        <v>36</v>
      </c>
      <c r="C1" s="35"/>
      <c r="D1" s="35"/>
      <c r="E1" s="35"/>
      <c r="F1" s="35" t="s">
        <v>37</v>
      </c>
      <c r="G1" s="35"/>
      <c r="H1" s="35"/>
      <c r="I1" s="35"/>
      <c r="J1" s="36" t="s">
        <v>38</v>
      </c>
      <c r="K1" s="36"/>
      <c r="L1" s="36"/>
      <c r="N1" s="15" t="s">
        <v>39</v>
      </c>
    </row>
    <row r="2" customFormat="false" ht="15" hidden="false" customHeight="false" outlineLevel="0" collapsed="false">
      <c r="A2" s="37" t="s">
        <v>40</v>
      </c>
      <c r="B2" s="38" t="s">
        <v>42</v>
      </c>
      <c r="C2" s="39" t="s">
        <v>43</v>
      </c>
      <c r="D2" s="39" t="s">
        <v>44</v>
      </c>
      <c r="E2" s="40" t="s">
        <v>45</v>
      </c>
      <c r="F2" s="38" t="s">
        <v>46</v>
      </c>
      <c r="G2" s="39" t="s">
        <v>47</v>
      </c>
      <c r="H2" s="39" t="s">
        <v>48</v>
      </c>
      <c r="I2" s="40" t="s">
        <v>49</v>
      </c>
      <c r="J2" s="21" t="s">
        <v>50</v>
      </c>
      <c r="K2" s="21" t="s">
        <v>51</v>
      </c>
      <c r="L2" s="21" t="s">
        <v>52</v>
      </c>
    </row>
    <row r="3" customFormat="false" ht="15" hidden="false" customHeight="false" outlineLevel="0" collapsed="false">
      <c r="A3" s="41" t="s">
        <v>53</v>
      </c>
      <c r="B3" s="42" t="n">
        <v>11520.5912836502</v>
      </c>
      <c r="C3" s="43" t="n">
        <v>10469.3744679492</v>
      </c>
      <c r="D3" s="43" t="n">
        <v>12097.9819244358</v>
      </c>
      <c r="E3" s="44" t="n">
        <v>0.134618109587114</v>
      </c>
      <c r="F3" s="42" t="n">
        <v>9460</v>
      </c>
      <c r="G3" s="43" t="n">
        <v>8600</v>
      </c>
      <c r="H3" s="43" t="n">
        <v>10320</v>
      </c>
      <c r="I3" s="44" t="n">
        <v>0.166666666666667</v>
      </c>
      <c r="J3" s="45" t="n">
        <v>322.682252287106</v>
      </c>
      <c r="K3" s="45" t="n">
        <v>322.687727642174</v>
      </c>
      <c r="L3" s="46" t="n">
        <f aca="false">TRUE()</f>
        <v>1</v>
      </c>
    </row>
    <row r="4" customFormat="false" ht="15" hidden="false" customHeight="false" outlineLevel="0" collapsed="false">
      <c r="A4" s="41" t="s">
        <v>57</v>
      </c>
      <c r="B4" s="42" t="n">
        <v>12138.3992339262</v>
      </c>
      <c r="C4" s="43" t="n">
        <v>10751.6276824741</v>
      </c>
      <c r="D4" s="43" t="n">
        <v>12904.6259435909</v>
      </c>
      <c r="E4" s="44" t="n">
        <v>0.166839261403468</v>
      </c>
      <c r="F4" s="42" t="n">
        <v>10000</v>
      </c>
      <c r="G4" s="43" t="n">
        <v>8800</v>
      </c>
      <c r="H4" s="43" t="n">
        <v>10750</v>
      </c>
      <c r="I4" s="44" t="n">
        <v>0.181395348837209</v>
      </c>
      <c r="J4" s="45" t="n">
        <v>321.558332229757</v>
      </c>
      <c r="K4" s="45" t="n">
        <v>322.065703107347</v>
      </c>
      <c r="L4" s="46" t="n">
        <f aca="false">TRUE()</f>
        <v>1</v>
      </c>
    </row>
    <row r="5" customFormat="false" ht="15" hidden="false" customHeight="false" outlineLevel="0" collapsed="false">
      <c r="A5" s="41" t="s">
        <v>58</v>
      </c>
      <c r="B5" s="42" t="n">
        <v>14864.7702841985</v>
      </c>
      <c r="C5" s="43" t="n">
        <v>13834.4703972339</v>
      </c>
      <c r="D5" s="43" t="n">
        <v>15487.8788868583</v>
      </c>
      <c r="E5" s="44" t="n">
        <v>0.106754998647837</v>
      </c>
      <c r="F5" s="42" t="n">
        <v>12900</v>
      </c>
      <c r="G5" s="43" t="n">
        <v>12900</v>
      </c>
      <c r="H5" s="43" t="n">
        <v>14190</v>
      </c>
      <c r="I5" s="44" t="n">
        <v>0.0909090909090909</v>
      </c>
      <c r="J5" s="45" t="n">
        <v>322.317803882158</v>
      </c>
      <c r="K5" s="45" t="n">
        <v>322.466535699081</v>
      </c>
      <c r="L5" s="46" t="n">
        <f aca="false">TRUE()</f>
        <v>1</v>
      </c>
    </row>
    <row r="6" customFormat="false" ht="15" hidden="false" customHeight="false" outlineLevel="0" collapsed="false">
      <c r="A6" s="41" t="s">
        <v>59</v>
      </c>
      <c r="B6" s="42" t="n">
        <v>16335.0785362903</v>
      </c>
      <c r="C6" s="43" t="n">
        <v>14758.1097457048</v>
      </c>
      <c r="D6" s="43" t="n">
        <v>17246.0190531178</v>
      </c>
      <c r="E6" s="44" t="n">
        <v>0.144259918752857</v>
      </c>
      <c r="F6" s="42" t="n">
        <v>12900</v>
      </c>
      <c r="G6" s="43" t="n">
        <v>12000</v>
      </c>
      <c r="H6" s="43" t="n">
        <v>15000</v>
      </c>
      <c r="I6" s="44" t="n">
        <v>0.2</v>
      </c>
      <c r="J6" s="45" t="n">
        <v>321.605898348127</v>
      </c>
      <c r="K6" s="45" t="n">
        <v>322.064726856283</v>
      </c>
      <c r="L6" s="46" t="n">
        <f aca="false">TRUE()</f>
        <v>1</v>
      </c>
    </row>
    <row r="7" customFormat="false" ht="15" hidden="false" customHeight="false" outlineLevel="0" collapsed="false">
      <c r="A7" s="41" t="s">
        <v>60</v>
      </c>
      <c r="B7" s="42" t="n">
        <v>10995.5680991772</v>
      </c>
      <c r="C7" s="43" t="n">
        <v>10234.5201781796</v>
      </c>
      <c r="D7" s="43" t="n">
        <v>11367.5112295295</v>
      </c>
      <c r="E7" s="44" t="n">
        <v>0.0996692264887948</v>
      </c>
      <c r="F7" s="42" t="n">
        <v>9000</v>
      </c>
      <c r="G7" s="43" t="n">
        <v>8400</v>
      </c>
      <c r="H7" s="43" t="n">
        <v>9030</v>
      </c>
      <c r="I7" s="44" t="n">
        <v>0.0697674418604651</v>
      </c>
      <c r="J7" s="45" t="n">
        <v>321.319932572079</v>
      </c>
      <c r="K7" s="45" t="n">
        <v>322.021197401317</v>
      </c>
      <c r="L7" s="46" t="n">
        <f aca="false">TRUE()</f>
        <v>1</v>
      </c>
    </row>
    <row r="8" customFormat="false" ht="15" hidden="false" customHeight="false" outlineLevel="0" collapsed="false">
      <c r="A8" s="41" t="s">
        <v>61</v>
      </c>
      <c r="B8" s="42" t="n">
        <v>12991.2494249111</v>
      </c>
      <c r="C8" s="43" t="n">
        <v>11603.1671454512</v>
      </c>
      <c r="D8" s="43" t="n">
        <v>13727.2241711891</v>
      </c>
      <c r="E8" s="44" t="n">
        <v>0.154733178335929</v>
      </c>
      <c r="F8" s="42" t="n">
        <v>10750</v>
      </c>
      <c r="G8" s="43" t="n">
        <v>10320</v>
      </c>
      <c r="H8" s="43" t="n">
        <v>12000</v>
      </c>
      <c r="I8" s="44" t="n">
        <v>0.14</v>
      </c>
      <c r="J8" s="45" t="n">
        <v>322.362286390979</v>
      </c>
      <c r="K8" s="45" t="n">
        <v>322.518224948102</v>
      </c>
      <c r="L8" s="46" t="n">
        <f aca="false">TRUE()</f>
        <v>1</v>
      </c>
    </row>
    <row r="9" customFormat="false" ht="15" hidden="false" customHeight="false" outlineLevel="0" collapsed="false">
      <c r="A9" s="41" t="s">
        <v>62</v>
      </c>
      <c r="B9" s="42" t="n">
        <v>13446.7613794614</v>
      </c>
      <c r="C9" s="43" t="n">
        <v>11746.741501083</v>
      </c>
      <c r="D9" s="43" t="n">
        <v>14523.2012113055</v>
      </c>
      <c r="E9" s="44" t="n">
        <v>0.191174085508175</v>
      </c>
      <c r="F9" s="42" t="n">
        <v>10750</v>
      </c>
      <c r="G9" s="43" t="n">
        <v>9460</v>
      </c>
      <c r="H9" s="43" t="n">
        <v>12900</v>
      </c>
      <c r="I9" s="44" t="n">
        <v>0.266666666666667</v>
      </c>
      <c r="J9" s="45" t="n">
        <v>321.303878181839</v>
      </c>
      <c r="K9" s="45" t="n">
        <v>321.8125381385</v>
      </c>
      <c r="L9" s="46" t="n">
        <f aca="false">TRUE()</f>
        <v>1</v>
      </c>
    </row>
    <row r="10" customFormat="false" ht="15" hidden="false" customHeight="false" outlineLevel="0" collapsed="false">
      <c r="A10" s="41" t="s">
        <v>63</v>
      </c>
      <c r="B10" s="42" t="n">
        <v>7941.52424498135</v>
      </c>
      <c r="C10" s="43" t="n">
        <v>8023.72743638839</v>
      </c>
      <c r="D10" s="43" t="n">
        <v>7911.03379725891</v>
      </c>
      <c r="E10" s="44" t="n">
        <v>-0.0142451216892201</v>
      </c>
      <c r="F10" s="42" t="n">
        <v>7000</v>
      </c>
      <c r="G10" s="43" t="n">
        <v>6450</v>
      </c>
      <c r="H10" s="43" t="n">
        <v>7000</v>
      </c>
      <c r="I10" s="44" t="n">
        <v>0.0785714285714286</v>
      </c>
      <c r="J10" s="45" t="n">
        <v>322.382186616288</v>
      </c>
      <c r="K10" s="45" t="n">
        <v>322.578524651396</v>
      </c>
      <c r="L10" s="46" t="n">
        <f aca="false">TRUE()</f>
        <v>1</v>
      </c>
    </row>
    <row r="11" customFormat="false" ht="15" hidden="false" customHeight="false" outlineLevel="0" collapsed="false">
      <c r="A11" s="41" t="s">
        <v>64</v>
      </c>
      <c r="B11" s="42" t="n">
        <v>13662.2734537838</v>
      </c>
      <c r="C11" s="43" t="n">
        <v>12338.3444067501</v>
      </c>
      <c r="D11" s="43" t="n">
        <v>14519.6714366537</v>
      </c>
      <c r="E11" s="44" t="n">
        <v>0.150232533802182</v>
      </c>
      <c r="F11" s="42" t="n">
        <v>12040</v>
      </c>
      <c r="G11" s="43" t="n">
        <v>10750</v>
      </c>
      <c r="H11" s="43" t="n">
        <v>12900</v>
      </c>
      <c r="I11" s="44" t="n">
        <v>0.166666666666667</v>
      </c>
      <c r="J11" s="45" t="n">
        <v>322.392389760229</v>
      </c>
      <c r="K11" s="45" t="n">
        <v>322.498748731803</v>
      </c>
      <c r="L11" s="46" t="n">
        <f aca="false">TRUE()</f>
        <v>1</v>
      </c>
    </row>
    <row r="12" customFormat="false" ht="15" hidden="false" customHeight="false" outlineLevel="0" collapsed="false">
      <c r="A12" s="41" t="s">
        <v>65</v>
      </c>
      <c r="B12" s="42" t="n">
        <v>15440.5724451249</v>
      </c>
      <c r="C12" s="43" t="n">
        <v>14611.1855527662</v>
      </c>
      <c r="D12" s="43" t="n">
        <v>16058.2431440465</v>
      </c>
      <c r="E12" s="44" t="n">
        <v>0.0901130701721092</v>
      </c>
      <c r="F12" s="42" t="n">
        <v>10750</v>
      </c>
      <c r="G12" s="43" t="n">
        <v>10000</v>
      </c>
      <c r="H12" s="43" t="n">
        <v>12000</v>
      </c>
      <c r="I12" s="44" t="n">
        <v>0.166666666666667</v>
      </c>
      <c r="J12" s="45" t="n">
        <v>322.513402654215</v>
      </c>
      <c r="K12" s="45" t="n">
        <v>322.559586239035</v>
      </c>
      <c r="L12" s="46" t="n">
        <f aca="false">TRUE()</f>
        <v>1</v>
      </c>
    </row>
    <row r="13" customFormat="false" ht="15" hidden="false" customHeight="false" outlineLevel="0" collapsed="false">
      <c r="A13" s="41" t="s">
        <v>66</v>
      </c>
      <c r="B13" s="42" t="n">
        <v>10833.9411561507</v>
      </c>
      <c r="C13" s="43" t="n">
        <v>9670.01270890585</v>
      </c>
      <c r="D13" s="43" t="n">
        <v>11414.7204651297</v>
      </c>
      <c r="E13" s="44" t="n">
        <v>0.152847173222827</v>
      </c>
      <c r="F13" s="42" t="n">
        <v>8600</v>
      </c>
      <c r="G13" s="43" t="n">
        <v>8600</v>
      </c>
      <c r="H13" s="43" t="n">
        <v>9460</v>
      </c>
      <c r="I13" s="44" t="n">
        <v>0.0909090909090909</v>
      </c>
      <c r="J13" s="45" t="n">
        <v>322.030798431354</v>
      </c>
      <c r="K13" s="45" t="n">
        <v>322.362933267703</v>
      </c>
      <c r="L13" s="46" t="n">
        <f aca="false">TRUE()</f>
        <v>1</v>
      </c>
    </row>
    <row r="14" customFormat="false" ht="15" hidden="false" customHeight="false" outlineLevel="0" collapsed="false">
      <c r="A14" s="41" t="s">
        <v>67</v>
      </c>
      <c r="B14" s="42" t="n">
        <v>10533.4041011608</v>
      </c>
      <c r="C14" s="43" t="n">
        <v>9857.27767661412</v>
      </c>
      <c r="D14" s="43" t="n">
        <v>10924.1151665904</v>
      </c>
      <c r="E14" s="44" t="n">
        <v>0.0976589383860611</v>
      </c>
      <c r="F14" s="42" t="n">
        <v>9000</v>
      </c>
      <c r="G14" s="43" t="n">
        <v>8600</v>
      </c>
      <c r="H14" s="43" t="n">
        <v>9200</v>
      </c>
      <c r="I14" s="44" t="n">
        <v>0.0652173913043478</v>
      </c>
      <c r="J14" s="45" t="n">
        <v>322.450673860717</v>
      </c>
      <c r="K14" s="45" t="n">
        <v>322.553513818204</v>
      </c>
      <c r="L14" s="46" t="n">
        <f aca="false">TRUE()</f>
        <v>1</v>
      </c>
    </row>
    <row r="15" customFormat="false" ht="15" hidden="false" customHeight="false" outlineLevel="0" collapsed="false">
      <c r="A15" s="41" t="s">
        <v>68</v>
      </c>
      <c r="B15" s="42" t="n">
        <v>9614.09958144062</v>
      </c>
      <c r="C15" s="43" t="n">
        <v>7926.64499241599</v>
      </c>
      <c r="D15" s="43" t="n">
        <v>10611.8848312237</v>
      </c>
      <c r="E15" s="44" t="n">
        <v>0.253040801093776</v>
      </c>
      <c r="F15" s="42" t="n">
        <v>8600</v>
      </c>
      <c r="G15" s="43" t="n">
        <v>6450</v>
      </c>
      <c r="H15" s="43" t="n">
        <v>9030</v>
      </c>
      <c r="I15" s="44" t="n">
        <v>0.285714285714286</v>
      </c>
      <c r="J15" s="45" t="n">
        <v>322.201556371488</v>
      </c>
      <c r="K15" s="45" t="n">
        <v>322.402801487349</v>
      </c>
      <c r="L15" s="46" t="n">
        <f aca="false">TRUE()</f>
        <v>1</v>
      </c>
    </row>
    <row r="16" customFormat="false" ht="15" hidden="false" customHeight="false" outlineLevel="0" collapsed="false">
      <c r="A16" s="41" t="s">
        <v>69</v>
      </c>
      <c r="B16" s="42" t="n">
        <v>10216.7777106076</v>
      </c>
      <c r="C16" s="43" t="n">
        <v>8809.45624992361</v>
      </c>
      <c r="D16" s="43" t="n">
        <v>11056.7130789581</v>
      </c>
      <c r="E16" s="44" t="n">
        <v>0.20324818171426</v>
      </c>
      <c r="F16" s="42" t="n">
        <v>8600</v>
      </c>
      <c r="G16" s="43" t="n">
        <v>7740</v>
      </c>
      <c r="H16" s="43" t="n">
        <v>9030</v>
      </c>
      <c r="I16" s="44" t="n">
        <v>0.142857142857143</v>
      </c>
      <c r="J16" s="45" t="n">
        <v>322.272021990739</v>
      </c>
      <c r="K16" s="45" t="n">
        <v>322.442177921875</v>
      </c>
      <c r="L16" s="46" t="n">
        <f aca="false">TRUE()</f>
        <v>1</v>
      </c>
    </row>
    <row r="17" customFormat="false" ht="15" hidden="false" customHeight="false" outlineLevel="0" collapsed="false">
      <c r="A17" s="41" t="s">
        <v>70</v>
      </c>
      <c r="B17" s="42" t="n">
        <v>11408.938099686</v>
      </c>
      <c r="C17" s="43" t="n">
        <v>10436.5540435177</v>
      </c>
      <c r="D17" s="43" t="n">
        <v>11927.6088825585</v>
      </c>
      <c r="E17" s="44" t="n">
        <v>0.125008696522667</v>
      </c>
      <c r="F17" s="42" t="n">
        <v>10320</v>
      </c>
      <c r="G17" s="43" t="n">
        <v>8600</v>
      </c>
      <c r="H17" s="43" t="n">
        <v>10750</v>
      </c>
      <c r="I17" s="44" t="n">
        <v>0.2</v>
      </c>
      <c r="J17" s="45" t="n">
        <v>322.501343405888</v>
      </c>
      <c r="K17" s="45" t="n">
        <v>322.591394634988</v>
      </c>
      <c r="L17" s="46" t="n">
        <f aca="false">TRUE()</f>
        <v>1</v>
      </c>
    </row>
    <row r="18" customFormat="false" ht="15" hidden="false" customHeight="false" outlineLevel="0" collapsed="false">
      <c r="A18" s="41" t="s">
        <v>71</v>
      </c>
      <c r="B18" s="42" t="n">
        <v>9805.47551308363</v>
      </c>
      <c r="C18" s="43" t="n">
        <v>8764.24873170383</v>
      </c>
      <c r="D18" s="43" t="n">
        <v>10400.6700198635</v>
      </c>
      <c r="E18" s="44" t="n">
        <v>0.157338064281854</v>
      </c>
      <c r="F18" s="42" t="n">
        <v>8600</v>
      </c>
      <c r="G18" s="43" t="n">
        <v>7740</v>
      </c>
      <c r="H18" s="43" t="n">
        <v>8600</v>
      </c>
      <c r="I18" s="44" t="n">
        <v>0.1</v>
      </c>
      <c r="J18" s="45" t="n">
        <v>322.559454626507</v>
      </c>
      <c r="K18" s="45" t="n">
        <v>322.617247609026</v>
      </c>
      <c r="L18" s="46" t="n">
        <f aca="false">TRUE()</f>
        <v>1</v>
      </c>
    </row>
    <row r="19" customFormat="false" ht="15" hidden="false" customHeight="false" outlineLevel="0" collapsed="false">
      <c r="A19" s="41" t="s">
        <v>72</v>
      </c>
      <c r="B19" s="42" t="n">
        <v>10316.8918641717</v>
      </c>
      <c r="C19" s="43" t="n">
        <v>8958.29616091887</v>
      </c>
      <c r="D19" s="43" t="n">
        <v>10939.3830658058</v>
      </c>
      <c r="E19" s="44" t="n">
        <v>0.181096766880705</v>
      </c>
      <c r="F19" s="42" t="n">
        <v>8600</v>
      </c>
      <c r="G19" s="43" t="n">
        <v>7740</v>
      </c>
      <c r="H19" s="43" t="n">
        <v>9030</v>
      </c>
      <c r="I19" s="44" t="n">
        <v>0.142857142857143</v>
      </c>
      <c r="J19" s="45" t="n">
        <v>322.359256304989</v>
      </c>
      <c r="K19" s="45" t="n">
        <v>322.540754980381</v>
      </c>
      <c r="L19" s="46" t="n">
        <f aca="false">TRUE()</f>
        <v>1</v>
      </c>
    </row>
    <row r="20" customFormat="false" ht="15" hidden="false" customHeight="false" outlineLevel="0" collapsed="false">
      <c r="A20" s="41" t="s">
        <v>73</v>
      </c>
      <c r="B20" s="42" t="n">
        <v>8609.62139382963</v>
      </c>
      <c r="C20" s="43" t="n">
        <v>7158.36781466457</v>
      </c>
      <c r="D20" s="43" t="n">
        <v>9300.46938158889</v>
      </c>
      <c r="E20" s="44" t="n">
        <v>0.230321877212434</v>
      </c>
      <c r="F20" s="42" t="n">
        <v>7740</v>
      </c>
      <c r="G20" s="43" t="n">
        <v>6450</v>
      </c>
      <c r="H20" s="43" t="n">
        <v>8000</v>
      </c>
      <c r="I20" s="44" t="n">
        <v>0.19375</v>
      </c>
      <c r="J20" s="45" t="n">
        <v>321.268368113815</v>
      </c>
      <c r="K20" s="45" t="n">
        <v>322.013982941745</v>
      </c>
      <c r="L20" s="46" t="n">
        <f aca="false">TRUE()</f>
        <v>1</v>
      </c>
    </row>
    <row r="21" customFormat="false" ht="15.75" hidden="false" customHeight="true" outlineLevel="0" collapsed="false">
      <c r="A21" s="41" t="s">
        <v>74</v>
      </c>
      <c r="B21" s="42" t="n">
        <v>12488.5681881247</v>
      </c>
      <c r="C21" s="43" t="n">
        <v>11083.1037829785</v>
      </c>
      <c r="D21" s="43" t="n">
        <v>13322.9602133507</v>
      </c>
      <c r="E21" s="44" t="n">
        <v>0.168120026968754</v>
      </c>
      <c r="F21" s="42" t="n">
        <v>10320</v>
      </c>
      <c r="G21" s="43" t="n">
        <v>9400</v>
      </c>
      <c r="H21" s="43" t="n">
        <v>10750</v>
      </c>
      <c r="I21" s="44" t="n">
        <v>0.125581395348837</v>
      </c>
      <c r="J21" s="45" t="n">
        <v>321.907280752663</v>
      </c>
      <c r="K21" s="45" t="n">
        <v>322.226641733445</v>
      </c>
      <c r="L21" s="46" t="n">
        <f aca="false">TRUE()</f>
        <v>1</v>
      </c>
    </row>
    <row r="22" customFormat="false" ht="15.75" hidden="false" customHeight="true" outlineLevel="0" collapsed="false">
      <c r="A22" s="41" t="s">
        <v>75</v>
      </c>
      <c r="B22" s="42" t="n">
        <v>15251.6819127748</v>
      </c>
      <c r="C22" s="43" t="n">
        <v>12858.6953335698</v>
      </c>
      <c r="D22" s="43" t="n">
        <v>16552.5872343359</v>
      </c>
      <c r="E22" s="44" t="n">
        <v>0.223160998849997</v>
      </c>
      <c r="F22" s="42" t="n">
        <v>12850</v>
      </c>
      <c r="G22" s="43" t="n">
        <v>10750</v>
      </c>
      <c r="H22" s="43" t="n">
        <v>12900</v>
      </c>
      <c r="I22" s="44" t="n">
        <v>0.166666666666667</v>
      </c>
      <c r="J22" s="45" t="n">
        <v>322.488824916747</v>
      </c>
      <c r="K22" s="45" t="n">
        <v>322.582610198744</v>
      </c>
      <c r="L22" s="46" t="n">
        <f aca="false">TRUE()</f>
        <v>1</v>
      </c>
    </row>
    <row r="23" customFormat="false" ht="15.75" hidden="false" customHeight="true" outlineLevel="0" collapsed="false">
      <c r="A23" s="41" t="s">
        <v>76</v>
      </c>
      <c r="B23" s="42" t="n">
        <v>9097.97446031964</v>
      </c>
      <c r="C23" s="43" t="n">
        <v>7821.39064556339</v>
      </c>
      <c r="D23" s="43" t="n">
        <v>9786.24999464484</v>
      </c>
      <c r="E23" s="44" t="n">
        <v>0.200777555259333</v>
      </c>
      <c r="F23" s="42" t="n">
        <v>8127</v>
      </c>
      <c r="G23" s="43" t="n">
        <v>6880</v>
      </c>
      <c r="H23" s="43" t="n">
        <v>8600</v>
      </c>
      <c r="I23" s="44" t="n">
        <v>0.2</v>
      </c>
      <c r="J23" s="45" t="n">
        <v>322.17968052375</v>
      </c>
      <c r="K23" s="45" t="n">
        <v>322.416682684415</v>
      </c>
      <c r="L23" s="46" t="n">
        <f aca="false">TRUE()</f>
        <v>1</v>
      </c>
    </row>
    <row r="24" customFormat="false" ht="15.75" hidden="false" customHeight="true" outlineLevel="0" collapsed="false">
      <c r="A24" s="41" t="s">
        <v>77</v>
      </c>
      <c r="B24" s="42" t="n">
        <v>9308.96237293327</v>
      </c>
      <c r="C24" s="43" t="n">
        <v>8377.8994060597</v>
      </c>
      <c r="D24" s="43" t="n">
        <v>9841.11936019722</v>
      </c>
      <c r="E24" s="44" t="n">
        <v>0.148684301102532</v>
      </c>
      <c r="F24" s="42" t="n">
        <v>7740</v>
      </c>
      <c r="G24" s="43" t="n">
        <v>7200</v>
      </c>
      <c r="H24" s="43" t="n">
        <v>8600</v>
      </c>
      <c r="I24" s="44" t="n">
        <v>0.162790697674419</v>
      </c>
      <c r="J24" s="45" t="n">
        <v>322.47156541881</v>
      </c>
      <c r="K24" s="45" t="n">
        <v>322.566999300308</v>
      </c>
      <c r="L24" s="46" t="n">
        <f aca="false">TRUE()</f>
        <v>1</v>
      </c>
    </row>
    <row r="25" customFormat="false" ht="15.75" hidden="false" customHeight="true" outlineLevel="0" collapsed="false">
      <c r="A25" s="41" t="s">
        <v>78</v>
      </c>
      <c r="B25" s="42" t="n">
        <v>12286.2364726509</v>
      </c>
      <c r="C25" s="43" t="n">
        <v>10578.284474976</v>
      </c>
      <c r="D25" s="43" t="n">
        <v>13300.9495702894</v>
      </c>
      <c r="E25" s="44" t="n">
        <v>0.20469704669771</v>
      </c>
      <c r="F25" s="42" t="n">
        <v>10320</v>
      </c>
      <c r="G25" s="43" t="n">
        <v>8600</v>
      </c>
      <c r="H25" s="43" t="n">
        <v>10750</v>
      </c>
      <c r="I25" s="44" t="n">
        <v>0.2</v>
      </c>
      <c r="J25" s="45" t="n">
        <v>321.963894570012</v>
      </c>
      <c r="K25" s="45" t="n">
        <v>322.259999532394</v>
      </c>
      <c r="L25" s="46" t="n">
        <f aca="false">TRUE()</f>
        <v>1</v>
      </c>
    </row>
    <row r="26" customFormat="false" ht="15.75" hidden="false" customHeight="true" outlineLevel="0" collapsed="false">
      <c r="A26" s="41" t="s">
        <v>79</v>
      </c>
      <c r="B26" s="42" t="n">
        <v>13387.6418652588</v>
      </c>
      <c r="C26" s="43" t="n">
        <v>12137.9554074999</v>
      </c>
      <c r="D26" s="43" t="n">
        <v>14094.6797298655</v>
      </c>
      <c r="E26" s="44" t="n">
        <v>0.138827157471302</v>
      </c>
      <c r="F26" s="42" t="n">
        <v>12000</v>
      </c>
      <c r="G26" s="43" t="n">
        <v>10000</v>
      </c>
      <c r="H26" s="43" t="n">
        <v>12900</v>
      </c>
      <c r="I26" s="44" t="n">
        <v>0.224806201550388</v>
      </c>
      <c r="J26" s="45" t="n">
        <v>322.13670005789</v>
      </c>
      <c r="K26" s="45" t="n">
        <v>322.37863190229</v>
      </c>
      <c r="L26" s="46" t="n">
        <f aca="false">TRUE()</f>
        <v>1</v>
      </c>
    </row>
    <row r="27" customFormat="false" ht="15.75" hidden="false" customHeight="true" outlineLevel="0" collapsed="false">
      <c r="A27" s="41" t="s">
        <v>80</v>
      </c>
      <c r="B27" s="42" t="n">
        <v>10942.0399990768</v>
      </c>
      <c r="C27" s="43" t="n">
        <v>10170.1310575545</v>
      </c>
      <c r="D27" s="43" t="n">
        <v>11406.4269419709</v>
      </c>
      <c r="E27" s="44" t="n">
        <v>0.108385903026948</v>
      </c>
      <c r="F27" s="42" t="n">
        <v>9460</v>
      </c>
      <c r="G27" s="43" t="n">
        <v>8600</v>
      </c>
      <c r="H27" s="43" t="n">
        <v>10000</v>
      </c>
      <c r="I27" s="44" t="n">
        <v>0.14</v>
      </c>
      <c r="J27" s="45" t="n">
        <v>321.987214339288</v>
      </c>
      <c r="K27" s="45" t="n">
        <v>322.268579355984</v>
      </c>
      <c r="L27" s="46" t="n">
        <f aca="false">TRUE()</f>
        <v>1</v>
      </c>
    </row>
    <row r="28" customFormat="false" ht="15.75" hidden="false" customHeight="true" outlineLevel="0" collapsed="false">
      <c r="A28" s="41" t="s">
        <v>81</v>
      </c>
      <c r="B28" s="42" t="n">
        <v>12526.0266186187</v>
      </c>
      <c r="C28" s="43" t="n">
        <v>10900.8190081176</v>
      </c>
      <c r="D28" s="43" t="n">
        <v>13531.933839119</v>
      </c>
      <c r="E28" s="44" t="n">
        <v>0.19443745899756</v>
      </c>
      <c r="F28" s="42" t="n">
        <v>10750</v>
      </c>
      <c r="G28" s="43" t="n">
        <v>9200</v>
      </c>
      <c r="H28" s="43" t="n">
        <v>11600</v>
      </c>
      <c r="I28" s="44" t="n">
        <v>0.206896551724138</v>
      </c>
      <c r="J28" s="45" t="n">
        <v>322.302384996012</v>
      </c>
      <c r="K28" s="45" t="n">
        <v>322.451653567045</v>
      </c>
      <c r="L28" s="46" t="n">
        <f aca="false">TRUE()</f>
        <v>1</v>
      </c>
    </row>
    <row r="29" customFormat="false" ht="15.75" hidden="false" customHeight="true" outlineLevel="0" collapsed="false">
      <c r="A29" s="41" t="s">
        <v>82</v>
      </c>
      <c r="B29" s="42" t="n">
        <v>13101.3768197112</v>
      </c>
      <c r="C29" s="43" t="n">
        <v>11306.5757902735</v>
      </c>
      <c r="D29" s="43" t="n">
        <v>14310.7179794088</v>
      </c>
      <c r="E29" s="44" t="n">
        <v>0.209922534526769</v>
      </c>
      <c r="F29" s="42" t="n">
        <v>10750</v>
      </c>
      <c r="G29" s="43" t="n">
        <v>9460</v>
      </c>
      <c r="H29" s="43" t="n">
        <v>12000</v>
      </c>
      <c r="I29" s="44" t="n">
        <v>0.211666666666667</v>
      </c>
      <c r="J29" s="45" t="n">
        <v>322.334632576075</v>
      </c>
      <c r="K29" s="45" t="n">
        <v>322.45189967179</v>
      </c>
      <c r="L29" s="46" t="n">
        <f aca="false">TRUE()</f>
        <v>1</v>
      </c>
    </row>
    <row r="30" customFormat="false" ht="15.75" hidden="false" customHeight="true" outlineLevel="0" collapsed="false">
      <c r="A30" s="41" t="s">
        <v>83</v>
      </c>
      <c r="B30" s="42" t="n">
        <v>10088.0086806348</v>
      </c>
      <c r="C30" s="43" t="n">
        <v>8706.85868297222</v>
      </c>
      <c r="D30" s="43" t="n">
        <v>10652.7308632249</v>
      </c>
      <c r="E30" s="44" t="n">
        <v>0.182664164263286</v>
      </c>
      <c r="F30" s="42" t="n">
        <v>8600</v>
      </c>
      <c r="G30" s="43" t="n">
        <v>7740</v>
      </c>
      <c r="H30" s="43" t="n">
        <v>9000</v>
      </c>
      <c r="I30" s="44" t="n">
        <v>0.14</v>
      </c>
      <c r="J30" s="45" t="n">
        <v>322.015500342277</v>
      </c>
      <c r="K30" s="45" t="n">
        <v>322.416467055968</v>
      </c>
      <c r="L30" s="46" t="n">
        <f aca="false">TRUE()</f>
        <v>1</v>
      </c>
    </row>
    <row r="31" customFormat="false" ht="15.75" hidden="false" customHeight="true" outlineLevel="0" collapsed="false">
      <c r="A31" s="41" t="s">
        <v>84</v>
      </c>
      <c r="B31" s="42" t="n">
        <v>12784.8420521195</v>
      </c>
      <c r="C31" s="43" t="n">
        <v>11856.6117446772</v>
      </c>
      <c r="D31" s="43" t="n">
        <v>13330.2636329594</v>
      </c>
      <c r="E31" s="44" t="n">
        <v>0.11054934312316</v>
      </c>
      <c r="F31" s="42" t="n">
        <v>11180</v>
      </c>
      <c r="G31" s="43" t="n">
        <v>10750</v>
      </c>
      <c r="H31" s="43" t="n">
        <v>12000</v>
      </c>
      <c r="I31" s="44" t="n">
        <v>0.104166666666667</v>
      </c>
      <c r="J31" s="45" t="n">
        <v>322.379683984937</v>
      </c>
      <c r="K31" s="45" t="n">
        <v>322.509400680897</v>
      </c>
      <c r="L31" s="46" t="n">
        <f aca="false">TRUE()</f>
        <v>1</v>
      </c>
    </row>
    <row r="32" customFormat="false" ht="15.75" hidden="false" customHeight="true" outlineLevel="0" collapsed="false">
      <c r="A32" s="41" t="s">
        <v>85</v>
      </c>
      <c r="B32" s="42" t="n">
        <v>9208.19838770336</v>
      </c>
      <c r="C32" s="43" t="n">
        <v>7904.413602042</v>
      </c>
      <c r="D32" s="43" t="n">
        <v>9966.44443352504</v>
      </c>
      <c r="E32" s="44" t="n">
        <v>0.206897338889163</v>
      </c>
      <c r="F32" s="42" t="n">
        <v>7740</v>
      </c>
      <c r="G32" s="43" t="n">
        <v>6880</v>
      </c>
      <c r="H32" s="43" t="n">
        <v>8600</v>
      </c>
      <c r="I32" s="44" t="n">
        <v>0.2</v>
      </c>
      <c r="J32" s="45" t="n">
        <v>321.773786820525</v>
      </c>
      <c r="K32" s="45" t="n">
        <v>322.158356329166</v>
      </c>
      <c r="L32" s="46" t="n">
        <f aca="false">TRUE()</f>
        <v>1</v>
      </c>
    </row>
    <row r="33" customFormat="false" ht="15.75" hidden="false" customHeight="true" outlineLevel="0" collapsed="false">
      <c r="A33" s="41" t="s">
        <v>86</v>
      </c>
      <c r="B33" s="42" t="n">
        <v>9262.30767888938</v>
      </c>
      <c r="C33" s="43" t="n">
        <v>8422.58902133368</v>
      </c>
      <c r="D33" s="43" t="n">
        <v>9624.4297878473</v>
      </c>
      <c r="E33" s="44" t="n">
        <v>0.124873971030593</v>
      </c>
      <c r="F33" s="42" t="n">
        <v>7740</v>
      </c>
      <c r="G33" s="43" t="n">
        <v>7310</v>
      </c>
      <c r="H33" s="43" t="n">
        <v>8385</v>
      </c>
      <c r="I33" s="44" t="n">
        <v>0.128205128205128</v>
      </c>
      <c r="J33" s="45" t="n">
        <v>322.450279530721</v>
      </c>
      <c r="K33" s="45" t="n">
        <v>322.589079639246</v>
      </c>
      <c r="L33" s="46" t="n">
        <f aca="false">TRUE()</f>
        <v>1</v>
      </c>
    </row>
    <row r="34" customFormat="false" ht="15.75" hidden="false" customHeight="true" outlineLevel="0" collapsed="false">
      <c r="A34" s="41" t="s">
        <v>87</v>
      </c>
      <c r="B34" s="42" t="n">
        <v>12073.623305557</v>
      </c>
      <c r="C34" s="43" t="n">
        <v>10527.9139011908</v>
      </c>
      <c r="D34" s="43" t="n">
        <v>12847.218408525</v>
      </c>
      <c r="E34" s="44" t="n">
        <v>0.180529701728679</v>
      </c>
      <c r="F34" s="42" t="n">
        <v>9460</v>
      </c>
      <c r="G34" s="43" t="n">
        <v>8600</v>
      </c>
      <c r="H34" s="43" t="n">
        <v>10000</v>
      </c>
      <c r="I34" s="44" t="n">
        <v>0.14</v>
      </c>
      <c r="J34" s="45" t="n">
        <v>322.184386650168</v>
      </c>
      <c r="K34" s="45" t="n">
        <v>322.438947350691</v>
      </c>
      <c r="L34" s="46" t="n">
        <f aca="false">TRUE()</f>
        <v>1</v>
      </c>
    </row>
    <row r="35" customFormat="false" ht="15.75" hidden="false" customHeight="true" outlineLevel="0" collapsed="false">
      <c r="A35" s="47" t="s">
        <v>88</v>
      </c>
      <c r="B35" s="48" t="n">
        <v>10636.7861348043</v>
      </c>
      <c r="C35" s="49" t="n">
        <v>9525.02166540276</v>
      </c>
      <c r="D35" s="49" t="n">
        <v>11167.9063655713</v>
      </c>
      <c r="E35" s="50" t="n">
        <v>0.147107671428302</v>
      </c>
      <c r="F35" s="48" t="n">
        <v>8600</v>
      </c>
      <c r="G35" s="49" t="n">
        <v>8600</v>
      </c>
      <c r="H35" s="49" t="n">
        <v>9030</v>
      </c>
      <c r="I35" s="50" t="n">
        <v>0.0476190476190476</v>
      </c>
      <c r="J35" s="45" t="n">
        <v>321.604721474638</v>
      </c>
      <c r="K35" s="45" t="n">
        <v>322.172911120809</v>
      </c>
      <c r="L35" s="46" t="n">
        <f aca="false">TRUE()</f>
        <v>1</v>
      </c>
    </row>
    <row r="36" customFormat="false" ht="15.75" hidden="false" customHeight="true" outlineLevel="0" collapsed="false">
      <c r="B36" s="43"/>
      <c r="C36" s="43"/>
      <c r="D36" s="43"/>
      <c r="E36" s="51"/>
      <c r="F36" s="43"/>
      <c r="G36" s="43"/>
      <c r="H36" s="43"/>
      <c r="I36" s="51"/>
      <c r="J36" s="51"/>
      <c r="K36" s="51"/>
      <c r="L36" s="51"/>
    </row>
    <row r="37" customFormat="false" ht="15.75" hidden="false" customHeight="true" outlineLevel="0" collapsed="false">
      <c r="B37" s="43"/>
      <c r="C37" s="43"/>
      <c r="D37" s="43"/>
      <c r="E37" s="51"/>
      <c r="F37" s="43"/>
      <c r="G37" s="43"/>
      <c r="H37" s="43"/>
      <c r="I37" s="51"/>
      <c r="J37" s="51"/>
      <c r="K37" s="51"/>
      <c r="L37" s="51"/>
    </row>
    <row r="38" customFormat="false" ht="15.75" hidden="false" customHeight="true" outlineLevel="0" collapsed="false">
      <c r="B38" s="43"/>
      <c r="C38" s="43"/>
      <c r="D38" s="43"/>
      <c r="E38" s="51"/>
      <c r="F38" s="43"/>
      <c r="G38" s="43"/>
      <c r="H38" s="43"/>
      <c r="I38" s="51"/>
      <c r="J38" s="51"/>
      <c r="K38" s="51"/>
      <c r="L38" s="51"/>
    </row>
    <row r="39" customFormat="false" ht="15.75" hidden="false" customHeight="true" outlineLevel="0" collapsed="false">
      <c r="B39" s="43"/>
      <c r="C39" s="43"/>
      <c r="D39" s="43"/>
      <c r="E39" s="51"/>
      <c r="F39" s="43"/>
      <c r="G39" s="43"/>
      <c r="H39" s="43"/>
      <c r="I39" s="51"/>
      <c r="J39" s="51"/>
      <c r="K39" s="51"/>
      <c r="L39" s="51"/>
    </row>
    <row r="40" customFormat="false" ht="15.75" hidden="false" customHeight="true" outlineLevel="0" collapsed="false">
      <c r="B40" s="43"/>
      <c r="C40" s="43"/>
      <c r="D40" s="43"/>
      <c r="E40" s="51"/>
      <c r="F40" s="43"/>
      <c r="G40" s="43"/>
      <c r="H40" s="43"/>
      <c r="I40" s="51"/>
      <c r="J40" s="51"/>
      <c r="K40" s="51"/>
      <c r="L40" s="51"/>
    </row>
    <row r="41" customFormat="false" ht="15.75" hidden="false" customHeight="true" outlineLevel="0" collapsed="false">
      <c r="B41" s="43"/>
      <c r="C41" s="43"/>
      <c r="D41" s="43"/>
      <c r="E41" s="51"/>
      <c r="F41" s="43"/>
      <c r="G41" s="43"/>
      <c r="H41" s="43"/>
      <c r="I41" s="51"/>
      <c r="J41" s="51"/>
      <c r="K41" s="51"/>
      <c r="L41" s="51"/>
    </row>
    <row r="42" customFormat="false" ht="15.75" hidden="false" customHeight="true" outlineLevel="0" collapsed="false">
      <c r="B42" s="43"/>
      <c r="C42" s="43"/>
      <c r="D42" s="43"/>
      <c r="E42" s="51"/>
      <c r="F42" s="43"/>
      <c r="G42" s="43"/>
      <c r="H42" s="43"/>
      <c r="I42" s="51"/>
      <c r="J42" s="51"/>
      <c r="K42" s="51"/>
      <c r="L42" s="51"/>
    </row>
    <row r="43" customFormat="false" ht="15.75" hidden="false" customHeight="true" outlineLevel="0" collapsed="false">
      <c r="B43" s="43"/>
      <c r="C43" s="43"/>
      <c r="D43" s="43"/>
      <c r="E43" s="51"/>
      <c r="F43" s="43"/>
      <c r="G43" s="43"/>
      <c r="H43" s="43"/>
      <c r="I43" s="51"/>
      <c r="J43" s="51"/>
      <c r="K43" s="51"/>
      <c r="L43" s="51"/>
    </row>
    <row r="44" customFormat="false" ht="15.75" hidden="false" customHeight="true" outlineLevel="0" collapsed="false">
      <c r="B44" s="43"/>
      <c r="C44" s="43"/>
      <c r="D44" s="43"/>
      <c r="E44" s="51"/>
      <c r="F44" s="43"/>
      <c r="G44" s="43"/>
      <c r="H44" s="43"/>
      <c r="I44" s="51"/>
      <c r="J44" s="51"/>
      <c r="K44" s="51"/>
      <c r="L44" s="51"/>
    </row>
    <row r="45" customFormat="false" ht="15.75" hidden="false" customHeight="true" outlineLevel="0" collapsed="false">
      <c r="B45" s="43"/>
      <c r="C45" s="43"/>
      <c r="D45" s="43"/>
      <c r="E45" s="51"/>
      <c r="F45" s="43"/>
      <c r="G45" s="43"/>
      <c r="H45" s="43"/>
      <c r="I45" s="51"/>
      <c r="J45" s="51"/>
      <c r="K45" s="51"/>
      <c r="L45" s="51"/>
    </row>
    <row r="46" customFormat="false" ht="15.75" hidden="false" customHeight="true" outlineLevel="0" collapsed="false">
      <c r="B46" s="43"/>
      <c r="C46" s="43"/>
      <c r="D46" s="43"/>
      <c r="E46" s="51"/>
      <c r="F46" s="43"/>
      <c r="G46" s="43"/>
      <c r="H46" s="43"/>
      <c r="I46" s="51"/>
      <c r="J46" s="51"/>
      <c r="K46" s="51"/>
      <c r="L46" s="51"/>
    </row>
    <row r="47" customFormat="false" ht="15.75" hidden="false" customHeight="true" outlineLevel="0" collapsed="false">
      <c r="B47" s="43"/>
      <c r="C47" s="43"/>
      <c r="D47" s="43"/>
      <c r="E47" s="51"/>
      <c r="F47" s="43"/>
      <c r="G47" s="43"/>
      <c r="H47" s="43"/>
      <c r="I47" s="51"/>
      <c r="J47" s="51"/>
      <c r="K47" s="51"/>
      <c r="L47" s="51"/>
    </row>
    <row r="48" customFormat="false" ht="15.75" hidden="false" customHeight="true" outlineLevel="0" collapsed="false">
      <c r="B48" s="43"/>
      <c r="C48" s="43"/>
      <c r="D48" s="43"/>
      <c r="E48" s="51"/>
      <c r="F48" s="43"/>
      <c r="G48" s="43"/>
      <c r="H48" s="43"/>
      <c r="I48" s="51"/>
      <c r="J48" s="51"/>
      <c r="K48" s="51"/>
      <c r="L48" s="51"/>
    </row>
    <row r="49" customFormat="false" ht="15.75" hidden="false" customHeight="true" outlineLevel="0" collapsed="false">
      <c r="B49" s="43"/>
      <c r="C49" s="43"/>
      <c r="D49" s="43"/>
      <c r="E49" s="51"/>
      <c r="F49" s="43"/>
      <c r="G49" s="43"/>
      <c r="H49" s="43"/>
      <c r="I49" s="51"/>
      <c r="J49" s="51"/>
      <c r="K49" s="51"/>
      <c r="L49" s="51"/>
    </row>
    <row r="50" customFormat="false" ht="15.75" hidden="false" customHeight="true" outlineLevel="0" collapsed="false">
      <c r="B50" s="43"/>
      <c r="C50" s="43"/>
      <c r="D50" s="43"/>
      <c r="E50" s="51"/>
      <c r="F50" s="43"/>
      <c r="G50" s="43"/>
      <c r="H50" s="43"/>
      <c r="I50" s="51"/>
      <c r="J50" s="51"/>
      <c r="K50" s="51"/>
      <c r="L50" s="51"/>
    </row>
    <row r="51" customFormat="false" ht="15.75" hidden="false" customHeight="true" outlineLevel="0" collapsed="false">
      <c r="B51" s="43"/>
      <c r="C51" s="43"/>
      <c r="D51" s="43"/>
      <c r="E51" s="51"/>
      <c r="F51" s="43"/>
      <c r="G51" s="43"/>
      <c r="H51" s="43"/>
      <c r="I51" s="51"/>
      <c r="J51" s="51"/>
      <c r="K51" s="51"/>
      <c r="L51" s="51"/>
    </row>
    <row r="52" customFormat="false" ht="15.75" hidden="false" customHeight="true" outlineLevel="0" collapsed="false">
      <c r="B52" s="43"/>
      <c r="C52" s="43"/>
      <c r="D52" s="43"/>
      <c r="E52" s="51"/>
      <c r="F52" s="43"/>
      <c r="G52" s="43"/>
      <c r="H52" s="43"/>
      <c r="I52" s="51"/>
      <c r="J52" s="51"/>
      <c r="K52" s="51"/>
      <c r="L52" s="51"/>
    </row>
    <row r="53" customFormat="false" ht="15.75" hidden="false" customHeight="true" outlineLevel="0" collapsed="false">
      <c r="B53" s="43"/>
      <c r="C53" s="43"/>
      <c r="D53" s="43"/>
      <c r="E53" s="51"/>
      <c r="F53" s="43"/>
      <c r="G53" s="43"/>
      <c r="H53" s="43"/>
      <c r="I53" s="51"/>
      <c r="J53" s="51"/>
      <c r="K53" s="51"/>
      <c r="L53" s="51"/>
    </row>
    <row r="54" customFormat="false" ht="15.75" hidden="false" customHeight="true" outlineLevel="0" collapsed="false">
      <c r="B54" s="43"/>
      <c r="C54" s="43"/>
      <c r="D54" s="43"/>
      <c r="E54" s="51"/>
      <c r="F54" s="43"/>
      <c r="G54" s="43"/>
      <c r="H54" s="43"/>
      <c r="I54" s="51"/>
      <c r="J54" s="51"/>
      <c r="K54" s="51"/>
      <c r="L54" s="51"/>
    </row>
    <row r="55" customFormat="false" ht="15.75" hidden="false" customHeight="true" outlineLevel="0" collapsed="false">
      <c r="B55" s="43"/>
      <c r="C55" s="43"/>
      <c r="D55" s="43"/>
      <c r="E55" s="51"/>
      <c r="F55" s="43"/>
      <c r="G55" s="43"/>
      <c r="H55" s="43"/>
      <c r="I55" s="51"/>
      <c r="J55" s="51"/>
      <c r="K55" s="51"/>
      <c r="L55" s="51"/>
    </row>
    <row r="56" customFormat="false" ht="15.75" hidden="false" customHeight="true" outlineLevel="0" collapsed="false">
      <c r="B56" s="43"/>
      <c r="C56" s="43"/>
      <c r="D56" s="43"/>
      <c r="E56" s="51"/>
      <c r="F56" s="43"/>
      <c r="G56" s="43"/>
      <c r="H56" s="43"/>
      <c r="I56" s="51"/>
      <c r="J56" s="51"/>
      <c r="K56" s="51"/>
      <c r="L56" s="51"/>
    </row>
    <row r="57" customFormat="false" ht="15.75" hidden="false" customHeight="true" outlineLevel="0" collapsed="false">
      <c r="B57" s="43"/>
      <c r="C57" s="43"/>
      <c r="D57" s="43"/>
      <c r="E57" s="51"/>
      <c r="F57" s="43"/>
      <c r="G57" s="43"/>
      <c r="H57" s="43"/>
      <c r="I57" s="51"/>
      <c r="J57" s="51"/>
      <c r="K57" s="51"/>
      <c r="L57" s="51"/>
    </row>
    <row r="58" customFormat="false" ht="15.75" hidden="false" customHeight="true" outlineLevel="0" collapsed="false">
      <c r="B58" s="43"/>
      <c r="C58" s="43"/>
      <c r="D58" s="43"/>
      <c r="E58" s="51"/>
      <c r="F58" s="43"/>
      <c r="G58" s="43"/>
      <c r="H58" s="43"/>
      <c r="I58" s="51"/>
      <c r="J58" s="51"/>
      <c r="K58" s="51"/>
      <c r="L58" s="51"/>
    </row>
    <row r="59" customFormat="false" ht="15.75" hidden="false" customHeight="true" outlineLevel="0" collapsed="false">
      <c r="B59" s="43"/>
      <c r="C59" s="43"/>
      <c r="D59" s="43"/>
      <c r="E59" s="51"/>
      <c r="F59" s="43"/>
      <c r="G59" s="43"/>
      <c r="H59" s="43"/>
      <c r="I59" s="51"/>
      <c r="J59" s="51"/>
      <c r="K59" s="51"/>
      <c r="L59" s="51"/>
    </row>
    <row r="60" customFormat="false" ht="15.75" hidden="false" customHeight="true" outlineLevel="0" collapsed="false">
      <c r="B60" s="43"/>
      <c r="C60" s="43"/>
      <c r="D60" s="43"/>
      <c r="E60" s="51"/>
      <c r="F60" s="43"/>
      <c r="G60" s="43"/>
      <c r="H60" s="43"/>
      <c r="I60" s="51"/>
      <c r="J60" s="51"/>
      <c r="K60" s="51"/>
      <c r="L60" s="51"/>
    </row>
    <row r="61" customFormat="false" ht="15.75" hidden="false" customHeight="true" outlineLevel="0" collapsed="false">
      <c r="B61" s="43"/>
      <c r="C61" s="43"/>
      <c r="D61" s="43"/>
      <c r="E61" s="51"/>
      <c r="F61" s="43"/>
      <c r="G61" s="43"/>
      <c r="H61" s="43"/>
      <c r="I61" s="51"/>
      <c r="J61" s="51"/>
      <c r="K61" s="51"/>
      <c r="L61" s="51"/>
    </row>
    <row r="62" customFormat="false" ht="15.75" hidden="false" customHeight="true" outlineLevel="0" collapsed="false">
      <c r="B62" s="43"/>
      <c r="C62" s="43"/>
      <c r="D62" s="43"/>
      <c r="E62" s="51"/>
      <c r="F62" s="43"/>
      <c r="G62" s="43"/>
      <c r="H62" s="43"/>
      <c r="I62" s="51"/>
      <c r="J62" s="51"/>
      <c r="K62" s="51"/>
      <c r="L62" s="51"/>
    </row>
    <row r="63" customFormat="false" ht="15.75" hidden="false" customHeight="true" outlineLevel="0" collapsed="false">
      <c r="B63" s="43"/>
      <c r="C63" s="43"/>
      <c r="D63" s="43"/>
      <c r="E63" s="51"/>
      <c r="F63" s="43"/>
      <c r="G63" s="43"/>
      <c r="H63" s="43"/>
      <c r="I63" s="51"/>
      <c r="J63" s="51"/>
      <c r="K63" s="51"/>
      <c r="L63" s="51"/>
    </row>
    <row r="64" customFormat="false" ht="15.75" hidden="false" customHeight="true" outlineLevel="0" collapsed="false">
      <c r="B64" s="43"/>
      <c r="C64" s="43"/>
      <c r="D64" s="43"/>
      <c r="E64" s="51"/>
      <c r="F64" s="43"/>
      <c r="G64" s="43"/>
      <c r="H64" s="43"/>
      <c r="I64" s="51"/>
      <c r="J64" s="51"/>
      <c r="K64" s="51"/>
      <c r="L64" s="51"/>
    </row>
    <row r="65" customFormat="false" ht="15.75" hidden="false" customHeight="true" outlineLevel="0" collapsed="false">
      <c r="B65" s="43"/>
      <c r="C65" s="43"/>
      <c r="D65" s="43"/>
      <c r="E65" s="51"/>
      <c r="F65" s="43"/>
      <c r="G65" s="43"/>
      <c r="H65" s="43"/>
      <c r="I65" s="51"/>
      <c r="J65" s="51"/>
      <c r="K65" s="51"/>
      <c r="L65" s="51"/>
    </row>
    <row r="66" customFormat="false" ht="15.75" hidden="false" customHeight="true" outlineLevel="0" collapsed="false">
      <c r="B66" s="43"/>
      <c r="C66" s="43"/>
      <c r="D66" s="43"/>
      <c r="E66" s="51"/>
      <c r="F66" s="43"/>
      <c r="G66" s="43"/>
      <c r="H66" s="43"/>
      <c r="I66" s="51"/>
      <c r="J66" s="51"/>
      <c r="K66" s="51"/>
      <c r="L66" s="51"/>
    </row>
    <row r="67" customFormat="false" ht="15.75" hidden="false" customHeight="true" outlineLevel="0" collapsed="false">
      <c r="B67" s="43"/>
      <c r="C67" s="43"/>
      <c r="D67" s="43"/>
      <c r="E67" s="51"/>
      <c r="F67" s="43"/>
      <c r="G67" s="43"/>
      <c r="H67" s="43"/>
      <c r="I67" s="51"/>
      <c r="J67" s="51"/>
      <c r="K67" s="51"/>
      <c r="L67" s="51"/>
    </row>
    <row r="68" customFormat="false" ht="15.75" hidden="false" customHeight="true" outlineLevel="0" collapsed="false">
      <c r="B68" s="43"/>
      <c r="C68" s="43"/>
      <c r="D68" s="43"/>
      <c r="E68" s="51"/>
      <c r="F68" s="43"/>
      <c r="G68" s="43"/>
      <c r="H68" s="43"/>
      <c r="I68" s="51"/>
      <c r="J68" s="51"/>
      <c r="K68" s="51"/>
      <c r="L68" s="51"/>
    </row>
    <row r="69" customFormat="false" ht="15.75" hidden="false" customHeight="true" outlineLevel="0" collapsed="false">
      <c r="B69" s="43"/>
      <c r="C69" s="43"/>
      <c r="D69" s="43"/>
      <c r="E69" s="51"/>
      <c r="F69" s="43"/>
      <c r="G69" s="43"/>
      <c r="H69" s="43"/>
      <c r="I69" s="51"/>
      <c r="J69" s="51"/>
      <c r="K69" s="51"/>
      <c r="L69" s="51"/>
    </row>
    <row r="70" customFormat="false" ht="15.75" hidden="false" customHeight="true" outlineLevel="0" collapsed="false">
      <c r="B70" s="43"/>
      <c r="C70" s="43"/>
      <c r="D70" s="43"/>
      <c r="E70" s="51"/>
      <c r="F70" s="43"/>
      <c r="G70" s="43"/>
      <c r="H70" s="43"/>
      <c r="I70" s="51"/>
      <c r="J70" s="51"/>
      <c r="K70" s="51"/>
      <c r="L70" s="51"/>
    </row>
    <row r="71" customFormat="false" ht="15.75" hidden="false" customHeight="true" outlineLevel="0" collapsed="false">
      <c r="B71" s="43"/>
      <c r="C71" s="43"/>
      <c r="D71" s="43"/>
      <c r="E71" s="51"/>
      <c r="F71" s="43"/>
      <c r="G71" s="43"/>
      <c r="H71" s="43"/>
      <c r="I71" s="51"/>
      <c r="J71" s="51"/>
      <c r="K71" s="51"/>
      <c r="L71" s="51"/>
    </row>
    <row r="72" customFormat="false" ht="15.75" hidden="false" customHeight="true" outlineLevel="0" collapsed="false">
      <c r="B72" s="43"/>
      <c r="C72" s="43"/>
      <c r="D72" s="43"/>
      <c r="E72" s="51"/>
      <c r="F72" s="43"/>
      <c r="G72" s="43"/>
      <c r="H72" s="43"/>
      <c r="I72" s="51"/>
      <c r="J72" s="51"/>
      <c r="K72" s="51"/>
      <c r="L72" s="51"/>
    </row>
    <row r="73" customFormat="false" ht="15.75" hidden="false" customHeight="true" outlineLevel="0" collapsed="false">
      <c r="B73" s="43"/>
      <c r="C73" s="43"/>
      <c r="D73" s="43"/>
      <c r="E73" s="51"/>
      <c r="F73" s="43"/>
      <c r="G73" s="43"/>
      <c r="H73" s="43"/>
      <c r="I73" s="51"/>
      <c r="J73" s="51"/>
      <c r="K73" s="51"/>
      <c r="L73" s="51"/>
    </row>
    <row r="74" customFormat="false" ht="15.75" hidden="false" customHeight="true" outlineLevel="0" collapsed="false">
      <c r="B74" s="43"/>
      <c r="C74" s="43"/>
      <c r="D74" s="43"/>
      <c r="E74" s="51"/>
      <c r="F74" s="43"/>
      <c r="G74" s="43"/>
      <c r="H74" s="43"/>
      <c r="I74" s="51"/>
      <c r="J74" s="51"/>
      <c r="K74" s="51"/>
      <c r="L74" s="51"/>
    </row>
    <row r="75" customFormat="false" ht="15.75" hidden="false" customHeight="true" outlineLevel="0" collapsed="false">
      <c r="B75" s="43"/>
      <c r="C75" s="43"/>
      <c r="D75" s="43"/>
      <c r="E75" s="51"/>
      <c r="F75" s="43"/>
      <c r="G75" s="43"/>
      <c r="H75" s="43"/>
      <c r="I75" s="51"/>
      <c r="J75" s="51"/>
      <c r="K75" s="51"/>
      <c r="L75" s="51"/>
    </row>
    <row r="76" customFormat="false" ht="15.75" hidden="false" customHeight="true" outlineLevel="0" collapsed="false">
      <c r="B76" s="43"/>
      <c r="C76" s="43"/>
      <c r="D76" s="43"/>
      <c r="E76" s="51"/>
      <c r="F76" s="43"/>
      <c r="G76" s="43"/>
      <c r="H76" s="43"/>
      <c r="I76" s="51"/>
      <c r="J76" s="51"/>
      <c r="K76" s="51"/>
      <c r="L76" s="51"/>
    </row>
    <row r="77" customFormat="false" ht="15.75" hidden="false" customHeight="true" outlineLevel="0" collapsed="false">
      <c r="B77" s="43"/>
      <c r="C77" s="43"/>
      <c r="D77" s="43"/>
      <c r="E77" s="51"/>
      <c r="F77" s="43"/>
      <c r="G77" s="43"/>
      <c r="H77" s="43"/>
      <c r="I77" s="51"/>
      <c r="J77" s="51"/>
      <c r="K77" s="51"/>
      <c r="L77" s="51"/>
    </row>
    <row r="78" customFormat="false" ht="15.75" hidden="false" customHeight="true" outlineLevel="0" collapsed="false">
      <c r="B78" s="43"/>
      <c r="C78" s="43"/>
      <c r="D78" s="43"/>
      <c r="E78" s="51"/>
      <c r="F78" s="43"/>
      <c r="G78" s="43"/>
      <c r="H78" s="43"/>
      <c r="I78" s="51"/>
      <c r="J78" s="51"/>
      <c r="K78" s="51"/>
      <c r="L78" s="51"/>
    </row>
    <row r="79" customFormat="false" ht="15.75" hidden="false" customHeight="true" outlineLevel="0" collapsed="false">
      <c r="B79" s="43"/>
      <c r="C79" s="43"/>
      <c r="D79" s="43"/>
      <c r="E79" s="51"/>
      <c r="F79" s="43"/>
      <c r="G79" s="43"/>
      <c r="H79" s="43"/>
      <c r="I79" s="51"/>
      <c r="J79" s="51"/>
      <c r="K79" s="51"/>
      <c r="L79" s="51"/>
    </row>
    <row r="80" customFormat="false" ht="15.75" hidden="false" customHeight="true" outlineLevel="0" collapsed="false">
      <c r="B80" s="43"/>
      <c r="C80" s="43"/>
      <c r="D80" s="43"/>
      <c r="E80" s="51"/>
      <c r="F80" s="43"/>
      <c r="G80" s="43"/>
      <c r="H80" s="43"/>
      <c r="I80" s="51"/>
      <c r="J80" s="51"/>
      <c r="K80" s="51"/>
      <c r="L80" s="51"/>
    </row>
    <row r="81" customFormat="false" ht="15.75" hidden="false" customHeight="true" outlineLevel="0" collapsed="false">
      <c r="B81" s="43"/>
      <c r="C81" s="43"/>
      <c r="D81" s="43"/>
      <c r="E81" s="51"/>
      <c r="F81" s="43"/>
      <c r="G81" s="43"/>
      <c r="H81" s="43"/>
      <c r="I81" s="51"/>
      <c r="J81" s="51"/>
      <c r="K81" s="51"/>
      <c r="L81" s="51"/>
    </row>
    <row r="82" customFormat="false" ht="15.75" hidden="false" customHeight="true" outlineLevel="0" collapsed="false">
      <c r="B82" s="43"/>
      <c r="C82" s="43"/>
      <c r="D82" s="43"/>
      <c r="E82" s="51"/>
      <c r="F82" s="43"/>
      <c r="G82" s="43"/>
      <c r="H82" s="43"/>
      <c r="I82" s="51"/>
      <c r="J82" s="51"/>
      <c r="K82" s="51"/>
      <c r="L82" s="51"/>
    </row>
    <row r="83" customFormat="false" ht="15.75" hidden="false" customHeight="true" outlineLevel="0" collapsed="false">
      <c r="B83" s="43"/>
      <c r="C83" s="43"/>
      <c r="D83" s="43"/>
      <c r="E83" s="51"/>
      <c r="F83" s="43"/>
      <c r="G83" s="43"/>
      <c r="H83" s="43"/>
      <c r="I83" s="51"/>
      <c r="J83" s="51"/>
      <c r="K83" s="51"/>
      <c r="L83" s="51"/>
    </row>
    <row r="84" customFormat="false" ht="15.75" hidden="false" customHeight="true" outlineLevel="0" collapsed="false">
      <c r="B84" s="43"/>
      <c r="C84" s="43"/>
      <c r="D84" s="43"/>
      <c r="E84" s="51"/>
      <c r="F84" s="43"/>
      <c r="G84" s="43"/>
      <c r="H84" s="43"/>
      <c r="I84" s="51"/>
      <c r="J84" s="51"/>
      <c r="K84" s="51"/>
      <c r="L84" s="51"/>
    </row>
    <row r="85" customFormat="false" ht="15.75" hidden="false" customHeight="true" outlineLevel="0" collapsed="false">
      <c r="B85" s="43"/>
      <c r="C85" s="43"/>
      <c r="D85" s="43"/>
      <c r="E85" s="51"/>
      <c r="F85" s="43"/>
      <c r="G85" s="43"/>
      <c r="H85" s="43"/>
      <c r="I85" s="51"/>
      <c r="J85" s="51"/>
      <c r="K85" s="51"/>
      <c r="L85" s="51"/>
    </row>
    <row r="86" customFormat="false" ht="15.75" hidden="false" customHeight="true" outlineLevel="0" collapsed="false">
      <c r="B86" s="43"/>
      <c r="C86" s="43"/>
      <c r="D86" s="43"/>
      <c r="E86" s="51"/>
      <c r="F86" s="43"/>
      <c r="G86" s="43"/>
      <c r="H86" s="43"/>
      <c r="I86" s="51"/>
      <c r="J86" s="51"/>
      <c r="K86" s="51"/>
      <c r="L86" s="51"/>
    </row>
    <row r="87" customFormat="false" ht="15.75" hidden="false" customHeight="true" outlineLevel="0" collapsed="false">
      <c r="B87" s="43"/>
      <c r="C87" s="43"/>
      <c r="D87" s="43"/>
      <c r="E87" s="51"/>
      <c r="F87" s="43"/>
      <c r="G87" s="43"/>
      <c r="H87" s="43"/>
      <c r="I87" s="51"/>
      <c r="J87" s="51"/>
      <c r="K87" s="51"/>
      <c r="L87" s="51"/>
    </row>
    <row r="88" customFormat="false" ht="15.75" hidden="false" customHeight="true" outlineLevel="0" collapsed="false">
      <c r="B88" s="43"/>
      <c r="C88" s="43"/>
      <c r="D88" s="43"/>
      <c r="E88" s="51"/>
      <c r="F88" s="43"/>
      <c r="G88" s="43"/>
      <c r="H88" s="43"/>
      <c r="I88" s="51"/>
      <c r="J88" s="51"/>
      <c r="K88" s="51"/>
      <c r="L88" s="51"/>
    </row>
    <row r="89" customFormat="false" ht="15.75" hidden="false" customHeight="true" outlineLevel="0" collapsed="false">
      <c r="B89" s="43"/>
      <c r="C89" s="43"/>
      <c r="D89" s="43"/>
      <c r="E89" s="51"/>
      <c r="F89" s="43"/>
      <c r="G89" s="43"/>
      <c r="H89" s="43"/>
      <c r="I89" s="51"/>
      <c r="J89" s="51"/>
      <c r="K89" s="51"/>
      <c r="L89" s="51"/>
    </row>
    <row r="90" customFormat="false" ht="15.75" hidden="false" customHeight="true" outlineLevel="0" collapsed="false">
      <c r="B90" s="43"/>
      <c r="C90" s="43"/>
      <c r="D90" s="43"/>
      <c r="E90" s="51"/>
      <c r="F90" s="43"/>
      <c r="G90" s="43"/>
      <c r="H90" s="43"/>
      <c r="I90" s="51"/>
      <c r="J90" s="51"/>
      <c r="K90" s="51"/>
      <c r="L90" s="51"/>
    </row>
    <row r="91" customFormat="false" ht="15.75" hidden="false" customHeight="true" outlineLevel="0" collapsed="false">
      <c r="B91" s="43"/>
      <c r="C91" s="43"/>
      <c r="D91" s="43"/>
      <c r="E91" s="51"/>
      <c r="F91" s="43"/>
      <c r="G91" s="43"/>
      <c r="H91" s="43"/>
      <c r="I91" s="51"/>
      <c r="J91" s="51"/>
      <c r="K91" s="51"/>
      <c r="L91" s="51"/>
    </row>
    <row r="92" customFormat="false" ht="15.75" hidden="false" customHeight="true" outlineLevel="0" collapsed="false">
      <c r="B92" s="43"/>
      <c r="C92" s="43"/>
      <c r="D92" s="43"/>
      <c r="E92" s="51"/>
      <c r="F92" s="43"/>
      <c r="G92" s="43"/>
      <c r="H92" s="43"/>
      <c r="I92" s="51"/>
      <c r="J92" s="51"/>
      <c r="K92" s="51"/>
      <c r="L92" s="51"/>
    </row>
    <row r="93" customFormat="false" ht="15.75" hidden="false" customHeight="true" outlineLevel="0" collapsed="false">
      <c r="B93" s="43"/>
      <c r="C93" s="43"/>
      <c r="D93" s="43"/>
      <c r="E93" s="51"/>
      <c r="F93" s="43"/>
      <c r="G93" s="43"/>
      <c r="H93" s="43"/>
      <c r="I93" s="51"/>
      <c r="J93" s="51"/>
      <c r="K93" s="51"/>
      <c r="L93" s="51"/>
    </row>
    <row r="94" customFormat="false" ht="15.75" hidden="false" customHeight="true" outlineLevel="0" collapsed="false">
      <c r="B94" s="43"/>
      <c r="C94" s="43"/>
      <c r="D94" s="43"/>
      <c r="E94" s="51"/>
      <c r="F94" s="43"/>
      <c r="G94" s="43"/>
      <c r="H94" s="43"/>
      <c r="I94" s="51"/>
      <c r="J94" s="51"/>
      <c r="K94" s="51"/>
      <c r="L94" s="51"/>
    </row>
    <row r="95" customFormat="false" ht="15.75" hidden="false" customHeight="true" outlineLevel="0" collapsed="false">
      <c r="B95" s="43"/>
      <c r="C95" s="43"/>
      <c r="D95" s="43"/>
      <c r="E95" s="51"/>
      <c r="F95" s="43"/>
      <c r="G95" s="43"/>
      <c r="H95" s="43"/>
      <c r="I95" s="51"/>
      <c r="J95" s="51"/>
      <c r="K95" s="51"/>
      <c r="L95" s="51"/>
    </row>
    <row r="96" customFormat="false" ht="15.75" hidden="false" customHeight="true" outlineLevel="0" collapsed="false">
      <c r="B96" s="43"/>
      <c r="C96" s="43"/>
      <c r="D96" s="43"/>
      <c r="E96" s="51"/>
      <c r="F96" s="43"/>
      <c r="G96" s="43"/>
      <c r="H96" s="43"/>
      <c r="I96" s="51"/>
      <c r="J96" s="51"/>
      <c r="K96" s="51"/>
      <c r="L96" s="51"/>
    </row>
    <row r="97" customFormat="false" ht="15.75" hidden="false" customHeight="true" outlineLevel="0" collapsed="false">
      <c r="B97" s="43"/>
      <c r="C97" s="43"/>
      <c r="D97" s="43"/>
      <c r="E97" s="51"/>
      <c r="F97" s="43"/>
      <c r="G97" s="43"/>
      <c r="H97" s="43"/>
      <c r="I97" s="51"/>
      <c r="J97" s="51"/>
      <c r="K97" s="51"/>
      <c r="L97" s="51"/>
    </row>
    <row r="98" customFormat="false" ht="15.75" hidden="false" customHeight="true" outlineLevel="0" collapsed="false">
      <c r="B98" s="43"/>
      <c r="C98" s="43"/>
      <c r="D98" s="43"/>
      <c r="E98" s="51"/>
      <c r="F98" s="43"/>
      <c r="G98" s="43"/>
      <c r="H98" s="43"/>
      <c r="I98" s="51"/>
      <c r="J98" s="51"/>
      <c r="K98" s="51"/>
      <c r="L98" s="51"/>
    </row>
    <row r="99" customFormat="false" ht="15.75" hidden="false" customHeight="true" outlineLevel="0" collapsed="false">
      <c r="B99" s="43"/>
      <c r="C99" s="43"/>
      <c r="D99" s="43"/>
      <c r="E99" s="51"/>
      <c r="F99" s="43"/>
      <c r="G99" s="43"/>
      <c r="H99" s="43"/>
      <c r="I99" s="51"/>
      <c r="J99" s="51"/>
      <c r="K99" s="51"/>
      <c r="L99" s="51"/>
    </row>
    <row r="100" customFormat="false" ht="15.75" hidden="false" customHeight="true" outlineLevel="0" collapsed="false">
      <c r="B100" s="43"/>
      <c r="C100" s="43"/>
      <c r="D100" s="43"/>
      <c r="E100" s="51"/>
      <c r="F100" s="43"/>
      <c r="G100" s="43"/>
      <c r="H100" s="43"/>
      <c r="I100" s="51"/>
      <c r="J100" s="51"/>
      <c r="K100" s="51"/>
      <c r="L100" s="51"/>
    </row>
    <row r="101" customFormat="false" ht="15.75" hidden="false" customHeight="true" outlineLevel="0" collapsed="false">
      <c r="B101" s="43"/>
      <c r="C101" s="43"/>
      <c r="D101" s="43"/>
      <c r="E101" s="51"/>
      <c r="F101" s="43"/>
      <c r="G101" s="43"/>
      <c r="H101" s="43"/>
      <c r="I101" s="51"/>
      <c r="J101" s="51"/>
      <c r="K101" s="51"/>
      <c r="L101" s="51"/>
    </row>
    <row r="102" customFormat="false" ht="15.75" hidden="false" customHeight="true" outlineLevel="0" collapsed="false">
      <c r="B102" s="43"/>
      <c r="C102" s="43"/>
      <c r="D102" s="43"/>
      <c r="E102" s="51"/>
      <c r="F102" s="43"/>
      <c r="G102" s="43"/>
      <c r="H102" s="43"/>
      <c r="I102" s="51"/>
      <c r="J102" s="51"/>
      <c r="K102" s="51"/>
      <c r="L102" s="51"/>
    </row>
    <row r="103" customFormat="false" ht="15.75" hidden="false" customHeight="true" outlineLevel="0" collapsed="false">
      <c r="B103" s="43"/>
      <c r="C103" s="43"/>
      <c r="D103" s="43"/>
      <c r="E103" s="51"/>
      <c r="F103" s="43"/>
      <c r="G103" s="43"/>
      <c r="H103" s="43"/>
      <c r="I103" s="51"/>
      <c r="J103" s="51"/>
      <c r="K103" s="51"/>
      <c r="L103" s="51"/>
    </row>
    <row r="104" customFormat="false" ht="15.75" hidden="false" customHeight="true" outlineLevel="0" collapsed="false">
      <c r="B104" s="43"/>
      <c r="C104" s="43"/>
      <c r="D104" s="43"/>
      <c r="E104" s="51"/>
      <c r="F104" s="43"/>
      <c r="G104" s="43"/>
      <c r="H104" s="43"/>
      <c r="I104" s="51"/>
      <c r="J104" s="51"/>
      <c r="K104" s="51"/>
      <c r="L104" s="51"/>
    </row>
    <row r="105" customFormat="false" ht="15.75" hidden="false" customHeight="true" outlineLevel="0" collapsed="false">
      <c r="B105" s="43"/>
      <c r="C105" s="43"/>
      <c r="D105" s="43"/>
      <c r="E105" s="51"/>
      <c r="F105" s="43"/>
      <c r="G105" s="43"/>
      <c r="H105" s="43"/>
      <c r="I105" s="51"/>
      <c r="J105" s="51"/>
      <c r="K105" s="51"/>
      <c r="L105" s="51"/>
    </row>
    <row r="106" customFormat="false" ht="15.75" hidden="false" customHeight="true" outlineLevel="0" collapsed="false">
      <c r="B106" s="43"/>
      <c r="C106" s="43"/>
      <c r="D106" s="43"/>
      <c r="E106" s="51"/>
      <c r="F106" s="43"/>
      <c r="G106" s="43"/>
      <c r="H106" s="43"/>
      <c r="I106" s="51"/>
      <c r="J106" s="51"/>
      <c r="K106" s="51"/>
      <c r="L106" s="51"/>
    </row>
    <row r="107" customFormat="false" ht="15.75" hidden="false" customHeight="true" outlineLevel="0" collapsed="false">
      <c r="B107" s="43"/>
      <c r="C107" s="43"/>
      <c r="D107" s="43"/>
      <c r="E107" s="51"/>
      <c r="F107" s="43"/>
      <c r="G107" s="43"/>
      <c r="H107" s="43"/>
      <c r="I107" s="51"/>
      <c r="J107" s="51"/>
      <c r="K107" s="51"/>
      <c r="L107" s="51"/>
    </row>
    <row r="108" customFormat="false" ht="15.75" hidden="false" customHeight="true" outlineLevel="0" collapsed="false">
      <c r="B108" s="43"/>
      <c r="C108" s="43"/>
      <c r="D108" s="43"/>
      <c r="E108" s="51"/>
      <c r="F108" s="43"/>
      <c r="G108" s="43"/>
      <c r="H108" s="43"/>
      <c r="I108" s="51"/>
      <c r="J108" s="51"/>
      <c r="K108" s="51"/>
      <c r="L108" s="51"/>
    </row>
    <row r="109" customFormat="false" ht="15.75" hidden="false" customHeight="true" outlineLevel="0" collapsed="false">
      <c r="B109" s="43"/>
      <c r="C109" s="43"/>
      <c r="D109" s="43"/>
      <c r="E109" s="51"/>
      <c r="F109" s="43"/>
      <c r="G109" s="43"/>
      <c r="H109" s="43"/>
      <c r="I109" s="51"/>
      <c r="J109" s="51"/>
      <c r="K109" s="51"/>
      <c r="L109" s="51"/>
    </row>
    <row r="110" customFormat="false" ht="15.75" hidden="false" customHeight="true" outlineLevel="0" collapsed="false">
      <c r="B110" s="43"/>
      <c r="C110" s="43"/>
      <c r="D110" s="43"/>
      <c r="E110" s="51"/>
      <c r="F110" s="43"/>
      <c r="G110" s="43"/>
      <c r="H110" s="43"/>
      <c r="I110" s="51"/>
      <c r="J110" s="51"/>
      <c r="K110" s="51"/>
      <c r="L110" s="51"/>
    </row>
    <row r="111" customFormat="false" ht="15.75" hidden="false" customHeight="true" outlineLevel="0" collapsed="false">
      <c r="B111" s="43"/>
      <c r="C111" s="43"/>
      <c r="D111" s="43"/>
      <c r="E111" s="51"/>
      <c r="F111" s="43"/>
      <c r="G111" s="43"/>
      <c r="H111" s="43"/>
      <c r="I111" s="51"/>
      <c r="J111" s="51"/>
      <c r="K111" s="51"/>
      <c r="L111" s="51"/>
    </row>
    <row r="112" customFormat="false" ht="15.75" hidden="false" customHeight="true" outlineLevel="0" collapsed="false">
      <c r="B112" s="43"/>
      <c r="C112" s="43"/>
      <c r="D112" s="43"/>
      <c r="E112" s="51"/>
      <c r="F112" s="43"/>
      <c r="G112" s="43"/>
      <c r="H112" s="43"/>
      <c r="I112" s="51"/>
      <c r="J112" s="51"/>
      <c r="K112" s="51"/>
      <c r="L112" s="51"/>
    </row>
    <row r="113" customFormat="false" ht="15.75" hidden="false" customHeight="true" outlineLevel="0" collapsed="false">
      <c r="B113" s="43"/>
      <c r="C113" s="43"/>
      <c r="D113" s="43"/>
      <c r="E113" s="51"/>
      <c r="F113" s="43"/>
      <c r="G113" s="43"/>
      <c r="H113" s="43"/>
      <c r="I113" s="51"/>
      <c r="J113" s="51"/>
      <c r="K113" s="51"/>
      <c r="L113" s="51"/>
    </row>
    <row r="114" customFormat="false" ht="15.75" hidden="false" customHeight="true" outlineLevel="0" collapsed="false">
      <c r="B114" s="43"/>
      <c r="C114" s="43"/>
      <c r="D114" s="43"/>
      <c r="E114" s="51"/>
      <c r="F114" s="43"/>
      <c r="G114" s="43"/>
      <c r="H114" s="43"/>
      <c r="I114" s="51"/>
      <c r="J114" s="51"/>
      <c r="K114" s="51"/>
      <c r="L114" s="51"/>
    </row>
    <row r="115" customFormat="false" ht="15.75" hidden="false" customHeight="true" outlineLevel="0" collapsed="false">
      <c r="B115" s="43"/>
      <c r="C115" s="43"/>
      <c r="D115" s="43"/>
      <c r="E115" s="51"/>
      <c r="F115" s="43"/>
      <c r="G115" s="43"/>
      <c r="H115" s="43"/>
      <c r="I115" s="51"/>
      <c r="J115" s="51"/>
      <c r="K115" s="51"/>
      <c r="L115" s="51"/>
    </row>
    <row r="116" customFormat="false" ht="15.75" hidden="false" customHeight="true" outlineLevel="0" collapsed="false">
      <c r="B116" s="43"/>
      <c r="C116" s="43"/>
      <c r="D116" s="43"/>
      <c r="E116" s="51"/>
      <c r="F116" s="43"/>
      <c r="G116" s="43"/>
      <c r="H116" s="43"/>
      <c r="I116" s="51"/>
      <c r="J116" s="51"/>
      <c r="K116" s="51"/>
      <c r="L116" s="51"/>
    </row>
    <row r="117" customFormat="false" ht="15.75" hidden="false" customHeight="true" outlineLevel="0" collapsed="false">
      <c r="B117" s="43"/>
      <c r="C117" s="43"/>
      <c r="D117" s="43"/>
      <c r="E117" s="51"/>
      <c r="F117" s="43"/>
      <c r="G117" s="43"/>
      <c r="H117" s="43"/>
      <c r="I117" s="51"/>
      <c r="J117" s="51"/>
      <c r="K117" s="51"/>
      <c r="L117" s="51"/>
    </row>
    <row r="118" customFormat="false" ht="15.75" hidden="false" customHeight="true" outlineLevel="0" collapsed="false">
      <c r="B118" s="43"/>
      <c r="C118" s="43"/>
      <c r="D118" s="43"/>
      <c r="E118" s="51"/>
      <c r="F118" s="43"/>
      <c r="G118" s="43"/>
      <c r="H118" s="43"/>
      <c r="I118" s="51"/>
      <c r="J118" s="51"/>
      <c r="K118" s="51"/>
      <c r="L118" s="51"/>
    </row>
    <row r="119" customFormat="false" ht="15.75" hidden="false" customHeight="true" outlineLevel="0" collapsed="false">
      <c r="B119" s="43"/>
      <c r="C119" s="43"/>
      <c r="D119" s="43"/>
      <c r="E119" s="51"/>
      <c r="F119" s="43"/>
      <c r="G119" s="43"/>
      <c r="H119" s="43"/>
      <c r="I119" s="51"/>
      <c r="J119" s="51"/>
      <c r="K119" s="51"/>
      <c r="L119" s="51"/>
    </row>
    <row r="120" customFormat="false" ht="15.75" hidden="false" customHeight="true" outlineLevel="0" collapsed="false">
      <c r="B120" s="43"/>
      <c r="C120" s="43"/>
      <c r="D120" s="43"/>
      <c r="E120" s="51"/>
      <c r="F120" s="43"/>
      <c r="G120" s="43"/>
      <c r="H120" s="43"/>
      <c r="I120" s="51"/>
      <c r="J120" s="51"/>
      <c r="K120" s="51"/>
      <c r="L120" s="51"/>
    </row>
    <row r="121" customFormat="false" ht="15.75" hidden="false" customHeight="true" outlineLevel="0" collapsed="false">
      <c r="B121" s="43"/>
      <c r="C121" s="43"/>
      <c r="D121" s="43"/>
      <c r="E121" s="51"/>
      <c r="F121" s="43"/>
      <c r="G121" s="43"/>
      <c r="H121" s="43"/>
      <c r="I121" s="51"/>
      <c r="J121" s="51"/>
      <c r="K121" s="51"/>
      <c r="L121" s="51"/>
    </row>
    <row r="122" customFormat="false" ht="15.75" hidden="false" customHeight="true" outlineLevel="0" collapsed="false">
      <c r="B122" s="43"/>
      <c r="C122" s="43"/>
      <c r="D122" s="43"/>
      <c r="E122" s="51"/>
      <c r="F122" s="43"/>
      <c r="G122" s="43"/>
      <c r="H122" s="43"/>
      <c r="I122" s="51"/>
      <c r="J122" s="51"/>
      <c r="K122" s="51"/>
      <c r="L122" s="51"/>
    </row>
    <row r="123" customFormat="false" ht="15.75" hidden="false" customHeight="true" outlineLevel="0" collapsed="false">
      <c r="B123" s="43"/>
      <c r="C123" s="43"/>
      <c r="D123" s="43"/>
      <c r="E123" s="51"/>
      <c r="F123" s="43"/>
      <c r="G123" s="43"/>
      <c r="H123" s="43"/>
      <c r="I123" s="51"/>
      <c r="J123" s="51"/>
      <c r="K123" s="51"/>
      <c r="L123" s="51"/>
    </row>
    <row r="124" customFormat="false" ht="15.75" hidden="false" customHeight="true" outlineLevel="0" collapsed="false">
      <c r="B124" s="43"/>
      <c r="C124" s="43"/>
      <c r="D124" s="43"/>
      <c r="E124" s="51"/>
      <c r="F124" s="43"/>
      <c r="G124" s="43"/>
      <c r="H124" s="43"/>
      <c r="I124" s="51"/>
      <c r="J124" s="51"/>
      <c r="K124" s="51"/>
      <c r="L124" s="51"/>
    </row>
    <row r="125" customFormat="false" ht="15.75" hidden="false" customHeight="true" outlineLevel="0" collapsed="false">
      <c r="B125" s="43"/>
      <c r="C125" s="43"/>
      <c r="D125" s="43"/>
      <c r="E125" s="51"/>
      <c r="F125" s="43"/>
      <c r="G125" s="43"/>
      <c r="H125" s="43"/>
      <c r="I125" s="51"/>
      <c r="J125" s="51"/>
      <c r="K125" s="51"/>
      <c r="L125" s="51"/>
    </row>
    <row r="126" customFormat="false" ht="15.75" hidden="false" customHeight="true" outlineLevel="0" collapsed="false">
      <c r="B126" s="43"/>
      <c r="C126" s="43"/>
      <c r="D126" s="43"/>
      <c r="E126" s="51"/>
      <c r="F126" s="43"/>
      <c r="G126" s="43"/>
      <c r="H126" s="43"/>
      <c r="I126" s="51"/>
      <c r="J126" s="51"/>
      <c r="K126" s="51"/>
      <c r="L126" s="51"/>
    </row>
    <row r="127" customFormat="false" ht="15.75" hidden="false" customHeight="true" outlineLevel="0" collapsed="false">
      <c r="B127" s="43"/>
      <c r="C127" s="43"/>
      <c r="D127" s="43"/>
      <c r="E127" s="51"/>
      <c r="F127" s="43"/>
      <c r="G127" s="43"/>
      <c r="H127" s="43"/>
      <c r="I127" s="51"/>
      <c r="J127" s="51"/>
      <c r="K127" s="51"/>
      <c r="L127" s="51"/>
    </row>
    <row r="128" customFormat="false" ht="15.75" hidden="false" customHeight="true" outlineLevel="0" collapsed="false">
      <c r="B128" s="43"/>
      <c r="C128" s="43"/>
      <c r="D128" s="43"/>
      <c r="E128" s="51"/>
      <c r="F128" s="43"/>
      <c r="G128" s="43"/>
      <c r="H128" s="43"/>
      <c r="I128" s="51"/>
      <c r="J128" s="51"/>
      <c r="K128" s="51"/>
      <c r="L128" s="51"/>
    </row>
    <row r="129" customFormat="false" ht="15.75" hidden="false" customHeight="true" outlineLevel="0" collapsed="false">
      <c r="B129" s="43"/>
      <c r="C129" s="43"/>
      <c r="D129" s="43"/>
      <c r="E129" s="51"/>
      <c r="F129" s="43"/>
      <c r="G129" s="43"/>
      <c r="H129" s="43"/>
      <c r="I129" s="51"/>
      <c r="J129" s="51"/>
      <c r="K129" s="51"/>
      <c r="L129" s="51"/>
    </row>
    <row r="130" customFormat="false" ht="15.75" hidden="false" customHeight="true" outlineLevel="0" collapsed="false">
      <c r="B130" s="43"/>
      <c r="C130" s="43"/>
      <c r="D130" s="43"/>
      <c r="E130" s="51"/>
      <c r="F130" s="43"/>
      <c r="G130" s="43"/>
      <c r="H130" s="43"/>
      <c r="I130" s="51"/>
      <c r="J130" s="51"/>
      <c r="K130" s="51"/>
      <c r="L130" s="51"/>
    </row>
    <row r="131" customFormat="false" ht="15.75" hidden="false" customHeight="true" outlineLevel="0" collapsed="false">
      <c r="B131" s="43"/>
      <c r="C131" s="43"/>
      <c r="D131" s="43"/>
      <c r="E131" s="51"/>
      <c r="F131" s="43"/>
      <c r="G131" s="43"/>
      <c r="H131" s="43"/>
      <c r="I131" s="51"/>
      <c r="J131" s="51"/>
      <c r="K131" s="51"/>
      <c r="L131" s="51"/>
    </row>
    <row r="132" customFormat="false" ht="15.75" hidden="false" customHeight="true" outlineLevel="0" collapsed="false">
      <c r="B132" s="43"/>
      <c r="C132" s="43"/>
      <c r="D132" s="43"/>
      <c r="E132" s="51"/>
      <c r="F132" s="43"/>
      <c r="G132" s="43"/>
      <c r="H132" s="43"/>
      <c r="I132" s="51"/>
      <c r="J132" s="51"/>
      <c r="K132" s="51"/>
      <c r="L132" s="51"/>
    </row>
    <row r="133" customFormat="false" ht="15.75" hidden="false" customHeight="true" outlineLevel="0" collapsed="false">
      <c r="B133" s="43"/>
      <c r="C133" s="43"/>
      <c r="D133" s="43"/>
      <c r="E133" s="51"/>
      <c r="F133" s="43"/>
      <c r="G133" s="43"/>
      <c r="H133" s="43"/>
      <c r="I133" s="51"/>
      <c r="J133" s="51"/>
      <c r="K133" s="51"/>
      <c r="L133" s="51"/>
    </row>
    <row r="134" customFormat="false" ht="15.75" hidden="false" customHeight="true" outlineLevel="0" collapsed="false">
      <c r="B134" s="43"/>
      <c r="C134" s="43"/>
      <c r="D134" s="43"/>
      <c r="E134" s="51"/>
      <c r="F134" s="43"/>
      <c r="G134" s="43"/>
      <c r="H134" s="43"/>
      <c r="I134" s="51"/>
      <c r="J134" s="51"/>
      <c r="K134" s="51"/>
      <c r="L134" s="51"/>
    </row>
    <row r="135" customFormat="false" ht="15.75" hidden="false" customHeight="true" outlineLevel="0" collapsed="false">
      <c r="B135" s="43"/>
      <c r="C135" s="43"/>
      <c r="D135" s="43"/>
      <c r="E135" s="51"/>
      <c r="F135" s="43"/>
      <c r="G135" s="43"/>
      <c r="H135" s="43"/>
      <c r="I135" s="51"/>
      <c r="J135" s="51"/>
      <c r="K135" s="51"/>
      <c r="L135" s="51"/>
    </row>
    <row r="136" customFormat="false" ht="15.75" hidden="false" customHeight="true" outlineLevel="0" collapsed="false">
      <c r="B136" s="43"/>
      <c r="C136" s="43"/>
      <c r="D136" s="43"/>
      <c r="E136" s="51"/>
      <c r="F136" s="43"/>
      <c r="G136" s="43"/>
      <c r="H136" s="43"/>
      <c r="I136" s="51"/>
      <c r="J136" s="51"/>
      <c r="K136" s="51"/>
      <c r="L136" s="51"/>
    </row>
    <row r="137" customFormat="false" ht="15.75" hidden="false" customHeight="true" outlineLevel="0" collapsed="false">
      <c r="B137" s="43"/>
      <c r="C137" s="43"/>
      <c r="D137" s="43"/>
      <c r="E137" s="51"/>
      <c r="F137" s="43"/>
      <c r="G137" s="43"/>
      <c r="H137" s="43"/>
      <c r="I137" s="51"/>
      <c r="J137" s="51"/>
      <c r="K137" s="51"/>
      <c r="L137" s="51"/>
    </row>
    <row r="138" customFormat="false" ht="15.75" hidden="false" customHeight="true" outlineLevel="0" collapsed="false">
      <c r="B138" s="43"/>
      <c r="C138" s="43"/>
      <c r="D138" s="43"/>
      <c r="E138" s="51"/>
      <c r="F138" s="43"/>
      <c r="G138" s="43"/>
      <c r="H138" s="43"/>
      <c r="I138" s="51"/>
      <c r="J138" s="51"/>
      <c r="K138" s="51"/>
      <c r="L138" s="51"/>
    </row>
    <row r="139" customFormat="false" ht="15.75" hidden="false" customHeight="true" outlineLevel="0" collapsed="false">
      <c r="B139" s="43"/>
      <c r="C139" s="43"/>
      <c r="D139" s="43"/>
      <c r="E139" s="51"/>
      <c r="F139" s="43"/>
      <c r="G139" s="43"/>
      <c r="H139" s="43"/>
      <c r="I139" s="51"/>
      <c r="J139" s="51"/>
      <c r="K139" s="51"/>
      <c r="L139" s="51"/>
    </row>
    <row r="140" customFormat="false" ht="15.75" hidden="false" customHeight="true" outlineLevel="0" collapsed="false">
      <c r="B140" s="43"/>
      <c r="C140" s="43"/>
      <c r="D140" s="43"/>
      <c r="E140" s="51"/>
      <c r="F140" s="43"/>
      <c r="G140" s="43"/>
      <c r="H140" s="43"/>
      <c r="I140" s="51"/>
      <c r="J140" s="51"/>
      <c r="K140" s="51"/>
      <c r="L140" s="51"/>
    </row>
    <row r="141" customFormat="false" ht="15.75" hidden="false" customHeight="true" outlineLevel="0" collapsed="false">
      <c r="B141" s="43"/>
      <c r="C141" s="43"/>
      <c r="D141" s="43"/>
      <c r="E141" s="51"/>
      <c r="F141" s="43"/>
      <c r="G141" s="43"/>
      <c r="H141" s="43"/>
      <c r="I141" s="51"/>
      <c r="J141" s="51"/>
      <c r="K141" s="51"/>
      <c r="L141" s="51"/>
    </row>
    <row r="142" customFormat="false" ht="15.75" hidden="false" customHeight="true" outlineLevel="0" collapsed="false">
      <c r="B142" s="43"/>
      <c r="C142" s="43"/>
      <c r="D142" s="43"/>
      <c r="E142" s="51"/>
      <c r="F142" s="43"/>
      <c r="G142" s="43"/>
      <c r="H142" s="43"/>
      <c r="I142" s="51"/>
      <c r="J142" s="51"/>
      <c r="K142" s="51"/>
      <c r="L142" s="51"/>
    </row>
    <row r="143" customFormat="false" ht="15.75" hidden="false" customHeight="true" outlineLevel="0" collapsed="false">
      <c r="B143" s="43"/>
      <c r="C143" s="43"/>
      <c r="D143" s="43"/>
      <c r="E143" s="51"/>
      <c r="F143" s="43"/>
      <c r="G143" s="43"/>
      <c r="H143" s="43"/>
      <c r="I143" s="51"/>
      <c r="J143" s="51"/>
      <c r="K143" s="51"/>
      <c r="L143" s="51"/>
    </row>
    <row r="144" customFormat="false" ht="15.75" hidden="false" customHeight="true" outlineLevel="0" collapsed="false">
      <c r="B144" s="43"/>
      <c r="C144" s="43"/>
      <c r="D144" s="43"/>
      <c r="E144" s="51"/>
      <c r="F144" s="43"/>
      <c r="G144" s="43"/>
      <c r="H144" s="43"/>
      <c r="I144" s="51"/>
      <c r="J144" s="51"/>
      <c r="K144" s="51"/>
      <c r="L144" s="51"/>
    </row>
    <row r="145" customFormat="false" ht="15.75" hidden="false" customHeight="true" outlineLevel="0" collapsed="false">
      <c r="B145" s="43"/>
      <c r="C145" s="43"/>
      <c r="D145" s="43"/>
      <c r="E145" s="51"/>
      <c r="F145" s="43"/>
      <c r="G145" s="43"/>
      <c r="H145" s="43"/>
      <c r="I145" s="51"/>
      <c r="J145" s="51"/>
      <c r="K145" s="51"/>
      <c r="L145" s="51"/>
    </row>
    <row r="146" customFormat="false" ht="15.75" hidden="false" customHeight="true" outlineLevel="0" collapsed="false">
      <c r="B146" s="43"/>
      <c r="C146" s="43"/>
      <c r="D146" s="43"/>
      <c r="E146" s="51"/>
      <c r="F146" s="43"/>
      <c r="G146" s="43"/>
      <c r="H146" s="43"/>
      <c r="I146" s="51"/>
      <c r="J146" s="51"/>
      <c r="K146" s="51"/>
      <c r="L146" s="51"/>
    </row>
    <row r="147" customFormat="false" ht="15.75" hidden="false" customHeight="true" outlineLevel="0" collapsed="false">
      <c r="B147" s="43"/>
      <c r="C147" s="43"/>
      <c r="D147" s="43"/>
      <c r="E147" s="51"/>
      <c r="F147" s="43"/>
      <c r="G147" s="43"/>
      <c r="H147" s="43"/>
      <c r="I147" s="51"/>
      <c r="J147" s="51"/>
      <c r="K147" s="51"/>
      <c r="L147" s="51"/>
    </row>
    <row r="148" customFormat="false" ht="15.75" hidden="false" customHeight="true" outlineLevel="0" collapsed="false">
      <c r="B148" s="43"/>
      <c r="C148" s="43"/>
      <c r="D148" s="43"/>
      <c r="E148" s="51"/>
      <c r="F148" s="43"/>
      <c r="G148" s="43"/>
      <c r="H148" s="43"/>
      <c r="I148" s="51"/>
      <c r="J148" s="51"/>
      <c r="K148" s="51"/>
      <c r="L148" s="51"/>
    </row>
    <row r="149" customFormat="false" ht="15.75" hidden="false" customHeight="true" outlineLevel="0" collapsed="false">
      <c r="B149" s="43"/>
      <c r="C149" s="43"/>
      <c r="D149" s="43"/>
      <c r="E149" s="51"/>
      <c r="F149" s="43"/>
      <c r="G149" s="43"/>
      <c r="H149" s="43"/>
      <c r="I149" s="51"/>
      <c r="J149" s="51"/>
      <c r="K149" s="51"/>
      <c r="L149" s="51"/>
    </row>
    <row r="150" customFormat="false" ht="15.75" hidden="false" customHeight="true" outlineLevel="0" collapsed="false">
      <c r="B150" s="43"/>
      <c r="C150" s="43"/>
      <c r="D150" s="43"/>
      <c r="E150" s="51"/>
      <c r="F150" s="43"/>
      <c r="G150" s="43"/>
      <c r="H150" s="43"/>
      <c r="I150" s="51"/>
      <c r="J150" s="51"/>
      <c r="K150" s="51"/>
      <c r="L150" s="51"/>
    </row>
    <row r="151" customFormat="false" ht="15.75" hidden="false" customHeight="true" outlineLevel="0" collapsed="false">
      <c r="B151" s="43"/>
      <c r="C151" s="43"/>
      <c r="D151" s="43"/>
      <c r="E151" s="51"/>
      <c r="F151" s="43"/>
      <c r="G151" s="43"/>
      <c r="H151" s="43"/>
      <c r="I151" s="51"/>
      <c r="J151" s="51"/>
      <c r="K151" s="51"/>
      <c r="L151" s="51"/>
    </row>
    <row r="152" customFormat="false" ht="15.75" hidden="false" customHeight="true" outlineLevel="0" collapsed="false">
      <c r="B152" s="43"/>
      <c r="C152" s="43"/>
      <c r="D152" s="43"/>
      <c r="E152" s="51"/>
      <c r="F152" s="43"/>
      <c r="G152" s="43"/>
      <c r="H152" s="43"/>
      <c r="I152" s="51"/>
      <c r="J152" s="51"/>
      <c r="K152" s="51"/>
      <c r="L152" s="51"/>
    </row>
    <row r="153" customFormat="false" ht="15.75" hidden="false" customHeight="true" outlineLevel="0" collapsed="false">
      <c r="B153" s="43"/>
      <c r="C153" s="43"/>
      <c r="D153" s="43"/>
      <c r="E153" s="51"/>
      <c r="F153" s="43"/>
      <c r="G153" s="43"/>
      <c r="H153" s="43"/>
      <c r="I153" s="51"/>
      <c r="J153" s="51"/>
      <c r="K153" s="51"/>
      <c r="L153" s="51"/>
    </row>
    <row r="154" customFormat="false" ht="15.75" hidden="false" customHeight="true" outlineLevel="0" collapsed="false">
      <c r="B154" s="43"/>
      <c r="C154" s="43"/>
      <c r="D154" s="43"/>
      <c r="E154" s="51"/>
      <c r="F154" s="43"/>
      <c r="G154" s="43"/>
      <c r="H154" s="43"/>
      <c r="I154" s="51"/>
      <c r="J154" s="51"/>
      <c r="K154" s="51"/>
      <c r="L154" s="51"/>
    </row>
    <row r="155" customFormat="false" ht="15.75" hidden="false" customHeight="true" outlineLevel="0" collapsed="false">
      <c r="B155" s="43"/>
      <c r="C155" s="43"/>
      <c r="D155" s="43"/>
      <c r="E155" s="51"/>
      <c r="F155" s="43"/>
      <c r="G155" s="43"/>
      <c r="H155" s="43"/>
      <c r="I155" s="51"/>
      <c r="J155" s="51"/>
      <c r="K155" s="51"/>
      <c r="L155" s="51"/>
    </row>
    <row r="156" customFormat="false" ht="15.75" hidden="false" customHeight="true" outlineLevel="0" collapsed="false">
      <c r="B156" s="43"/>
      <c r="C156" s="43"/>
      <c r="D156" s="43"/>
      <c r="E156" s="51"/>
      <c r="F156" s="43"/>
      <c r="G156" s="43"/>
      <c r="H156" s="43"/>
      <c r="I156" s="51"/>
      <c r="J156" s="51"/>
      <c r="K156" s="51"/>
      <c r="L156" s="51"/>
    </row>
    <row r="157" customFormat="false" ht="15.75" hidden="false" customHeight="true" outlineLevel="0" collapsed="false">
      <c r="B157" s="43"/>
      <c r="C157" s="43"/>
      <c r="D157" s="43"/>
      <c r="E157" s="51"/>
      <c r="F157" s="43"/>
      <c r="G157" s="43"/>
      <c r="H157" s="43"/>
      <c r="I157" s="51"/>
      <c r="J157" s="51"/>
      <c r="K157" s="51"/>
      <c r="L157" s="51"/>
    </row>
    <row r="158" customFormat="false" ht="15.75" hidden="false" customHeight="true" outlineLevel="0" collapsed="false">
      <c r="B158" s="43"/>
      <c r="C158" s="43"/>
      <c r="D158" s="43"/>
      <c r="E158" s="51"/>
      <c r="F158" s="43"/>
      <c r="G158" s="43"/>
      <c r="H158" s="43"/>
      <c r="I158" s="51"/>
      <c r="J158" s="51"/>
      <c r="K158" s="51"/>
      <c r="L158" s="51"/>
    </row>
    <row r="159" customFormat="false" ht="15.75" hidden="false" customHeight="true" outlineLevel="0" collapsed="false">
      <c r="B159" s="43"/>
      <c r="C159" s="43"/>
      <c r="D159" s="43"/>
      <c r="E159" s="51"/>
      <c r="F159" s="43"/>
      <c r="G159" s="43"/>
      <c r="H159" s="43"/>
      <c r="I159" s="51"/>
      <c r="J159" s="51"/>
      <c r="K159" s="51"/>
      <c r="L159" s="51"/>
    </row>
    <row r="160" customFormat="false" ht="15.75" hidden="false" customHeight="true" outlineLevel="0" collapsed="false">
      <c r="B160" s="43"/>
      <c r="C160" s="43"/>
      <c r="D160" s="43"/>
      <c r="E160" s="51"/>
      <c r="F160" s="43"/>
      <c r="G160" s="43"/>
      <c r="H160" s="43"/>
      <c r="I160" s="51"/>
      <c r="J160" s="51"/>
      <c r="K160" s="51"/>
      <c r="L160" s="51"/>
    </row>
    <row r="161" customFormat="false" ht="15.75" hidden="false" customHeight="true" outlineLevel="0" collapsed="false">
      <c r="B161" s="43"/>
      <c r="C161" s="43"/>
      <c r="D161" s="43"/>
      <c r="E161" s="51"/>
      <c r="F161" s="43"/>
      <c r="G161" s="43"/>
      <c r="H161" s="43"/>
      <c r="I161" s="51"/>
      <c r="J161" s="51"/>
      <c r="K161" s="51"/>
      <c r="L161" s="51"/>
    </row>
    <row r="162" customFormat="false" ht="15.75" hidden="false" customHeight="true" outlineLevel="0" collapsed="false">
      <c r="B162" s="43"/>
      <c r="C162" s="43"/>
      <c r="D162" s="43"/>
      <c r="E162" s="51"/>
      <c r="F162" s="43"/>
      <c r="G162" s="43"/>
      <c r="H162" s="43"/>
      <c r="I162" s="51"/>
      <c r="J162" s="51"/>
      <c r="K162" s="51"/>
      <c r="L162" s="51"/>
    </row>
    <row r="163" customFormat="false" ht="15.75" hidden="false" customHeight="true" outlineLevel="0" collapsed="false">
      <c r="B163" s="43"/>
      <c r="C163" s="43"/>
      <c r="D163" s="43"/>
      <c r="E163" s="51"/>
      <c r="F163" s="43"/>
      <c r="G163" s="43"/>
      <c r="H163" s="43"/>
      <c r="I163" s="51"/>
      <c r="J163" s="51"/>
      <c r="K163" s="51"/>
      <c r="L163" s="51"/>
    </row>
    <row r="164" customFormat="false" ht="15.75" hidden="false" customHeight="true" outlineLevel="0" collapsed="false">
      <c r="B164" s="43"/>
      <c r="C164" s="43"/>
      <c r="D164" s="43"/>
      <c r="E164" s="51"/>
      <c r="F164" s="43"/>
      <c r="G164" s="43"/>
      <c r="H164" s="43"/>
      <c r="I164" s="51"/>
      <c r="J164" s="51"/>
      <c r="K164" s="51"/>
      <c r="L164" s="51"/>
    </row>
    <row r="165" customFormat="false" ht="15.75" hidden="false" customHeight="true" outlineLevel="0" collapsed="false">
      <c r="B165" s="43"/>
      <c r="C165" s="43"/>
      <c r="D165" s="43"/>
      <c r="E165" s="51"/>
      <c r="F165" s="43"/>
      <c r="G165" s="43"/>
      <c r="H165" s="43"/>
      <c r="I165" s="51"/>
      <c r="J165" s="51"/>
      <c r="K165" s="51"/>
      <c r="L165" s="51"/>
    </row>
    <row r="166" customFormat="false" ht="15.75" hidden="false" customHeight="true" outlineLevel="0" collapsed="false">
      <c r="B166" s="43"/>
      <c r="C166" s="43"/>
      <c r="D166" s="43"/>
      <c r="E166" s="51"/>
      <c r="F166" s="43"/>
      <c r="G166" s="43"/>
      <c r="H166" s="43"/>
      <c r="I166" s="51"/>
      <c r="J166" s="51"/>
      <c r="K166" s="51"/>
      <c r="L166" s="51"/>
    </row>
    <row r="167" customFormat="false" ht="15.75" hidden="false" customHeight="true" outlineLevel="0" collapsed="false">
      <c r="B167" s="43"/>
      <c r="C167" s="43"/>
      <c r="D167" s="43"/>
      <c r="E167" s="51"/>
      <c r="F167" s="43"/>
      <c r="G167" s="43"/>
      <c r="H167" s="43"/>
      <c r="I167" s="51"/>
      <c r="J167" s="51"/>
      <c r="K167" s="51"/>
      <c r="L167" s="51"/>
    </row>
    <row r="168" customFormat="false" ht="15.75" hidden="false" customHeight="true" outlineLevel="0" collapsed="false">
      <c r="B168" s="43"/>
      <c r="C168" s="43"/>
      <c r="D168" s="43"/>
      <c r="E168" s="51"/>
      <c r="F168" s="43"/>
      <c r="G168" s="43"/>
      <c r="H168" s="43"/>
      <c r="I168" s="51"/>
      <c r="J168" s="51"/>
      <c r="K168" s="51"/>
      <c r="L168" s="51"/>
    </row>
    <row r="169" customFormat="false" ht="15.75" hidden="false" customHeight="true" outlineLevel="0" collapsed="false">
      <c r="B169" s="43"/>
      <c r="C169" s="43"/>
      <c r="D169" s="43"/>
      <c r="E169" s="51"/>
      <c r="F169" s="43"/>
      <c r="G169" s="43"/>
      <c r="H169" s="43"/>
      <c r="I169" s="51"/>
      <c r="J169" s="51"/>
      <c r="K169" s="51"/>
      <c r="L169" s="51"/>
    </row>
    <row r="170" customFormat="false" ht="15.75" hidden="false" customHeight="true" outlineLevel="0" collapsed="false">
      <c r="B170" s="43"/>
      <c r="C170" s="43"/>
      <c r="D170" s="43"/>
      <c r="E170" s="51"/>
      <c r="F170" s="43"/>
      <c r="G170" s="43"/>
      <c r="H170" s="43"/>
      <c r="I170" s="51"/>
      <c r="J170" s="51"/>
      <c r="K170" s="51"/>
      <c r="L170" s="51"/>
    </row>
    <row r="171" customFormat="false" ht="15.75" hidden="false" customHeight="true" outlineLevel="0" collapsed="false">
      <c r="B171" s="43"/>
      <c r="C171" s="43"/>
      <c r="D171" s="43"/>
      <c r="E171" s="51"/>
      <c r="F171" s="43"/>
      <c r="G171" s="43"/>
      <c r="H171" s="43"/>
      <c r="I171" s="51"/>
      <c r="J171" s="51"/>
      <c r="K171" s="51"/>
      <c r="L171" s="51"/>
    </row>
    <row r="172" customFormat="false" ht="15.75" hidden="false" customHeight="true" outlineLevel="0" collapsed="false">
      <c r="B172" s="43"/>
      <c r="C172" s="43"/>
      <c r="D172" s="43"/>
      <c r="E172" s="51"/>
      <c r="F172" s="43"/>
      <c r="G172" s="43"/>
      <c r="H172" s="43"/>
      <c r="I172" s="51"/>
      <c r="J172" s="51"/>
      <c r="K172" s="51"/>
      <c r="L172" s="51"/>
    </row>
    <row r="173" customFormat="false" ht="15.75" hidden="false" customHeight="true" outlineLevel="0" collapsed="false">
      <c r="B173" s="43"/>
      <c r="C173" s="43"/>
      <c r="D173" s="43"/>
      <c r="E173" s="51"/>
      <c r="F173" s="43"/>
      <c r="G173" s="43"/>
      <c r="H173" s="43"/>
      <c r="I173" s="51"/>
      <c r="J173" s="51"/>
      <c r="K173" s="51"/>
      <c r="L173" s="51"/>
    </row>
    <row r="174" customFormat="false" ht="15.75" hidden="false" customHeight="true" outlineLevel="0" collapsed="false">
      <c r="B174" s="43"/>
      <c r="C174" s="43"/>
      <c r="D174" s="43"/>
      <c r="E174" s="51"/>
      <c r="F174" s="43"/>
      <c r="G174" s="43"/>
      <c r="H174" s="43"/>
      <c r="I174" s="51"/>
      <c r="J174" s="51"/>
      <c r="K174" s="51"/>
      <c r="L174" s="51"/>
    </row>
    <row r="175" customFormat="false" ht="15.75" hidden="false" customHeight="true" outlineLevel="0" collapsed="false">
      <c r="B175" s="43"/>
      <c r="C175" s="43"/>
      <c r="D175" s="43"/>
      <c r="E175" s="51"/>
      <c r="F175" s="43"/>
      <c r="G175" s="43"/>
      <c r="H175" s="43"/>
      <c r="I175" s="51"/>
      <c r="J175" s="51"/>
      <c r="K175" s="51"/>
      <c r="L175" s="51"/>
    </row>
    <row r="176" customFormat="false" ht="15.75" hidden="false" customHeight="true" outlineLevel="0" collapsed="false">
      <c r="B176" s="43"/>
      <c r="C176" s="43"/>
      <c r="D176" s="43"/>
      <c r="E176" s="51"/>
      <c r="F176" s="43"/>
      <c r="G176" s="43"/>
      <c r="H176" s="43"/>
      <c r="I176" s="51"/>
      <c r="J176" s="51"/>
      <c r="K176" s="51"/>
      <c r="L176" s="51"/>
    </row>
    <row r="177" customFormat="false" ht="15.75" hidden="false" customHeight="true" outlineLevel="0" collapsed="false">
      <c r="B177" s="43"/>
      <c r="C177" s="43"/>
      <c r="D177" s="43"/>
      <c r="E177" s="51"/>
      <c r="F177" s="43"/>
      <c r="G177" s="43"/>
      <c r="H177" s="43"/>
      <c r="I177" s="51"/>
      <c r="J177" s="51"/>
      <c r="K177" s="51"/>
      <c r="L177" s="51"/>
    </row>
    <row r="178" customFormat="false" ht="15.75" hidden="false" customHeight="true" outlineLevel="0" collapsed="false">
      <c r="B178" s="43"/>
      <c r="C178" s="43"/>
      <c r="D178" s="43"/>
      <c r="E178" s="51"/>
      <c r="F178" s="43"/>
      <c r="G178" s="43"/>
      <c r="H178" s="43"/>
      <c r="I178" s="51"/>
      <c r="J178" s="51"/>
      <c r="K178" s="51"/>
      <c r="L178" s="51"/>
    </row>
    <row r="179" customFormat="false" ht="15.75" hidden="false" customHeight="true" outlineLevel="0" collapsed="false">
      <c r="B179" s="43"/>
      <c r="C179" s="43"/>
      <c r="D179" s="43"/>
      <c r="E179" s="51"/>
      <c r="F179" s="43"/>
      <c r="G179" s="43"/>
      <c r="H179" s="43"/>
      <c r="I179" s="51"/>
      <c r="J179" s="51"/>
      <c r="K179" s="51"/>
      <c r="L179" s="51"/>
    </row>
    <row r="180" customFormat="false" ht="15.75" hidden="false" customHeight="true" outlineLevel="0" collapsed="false">
      <c r="B180" s="43"/>
      <c r="C180" s="43"/>
      <c r="D180" s="43"/>
      <c r="E180" s="51"/>
      <c r="F180" s="43"/>
      <c r="G180" s="43"/>
      <c r="H180" s="43"/>
      <c r="I180" s="51"/>
      <c r="J180" s="51"/>
      <c r="K180" s="51"/>
      <c r="L180" s="51"/>
    </row>
    <row r="181" customFormat="false" ht="15.75" hidden="false" customHeight="true" outlineLevel="0" collapsed="false">
      <c r="B181" s="43"/>
      <c r="C181" s="43"/>
      <c r="D181" s="43"/>
      <c r="E181" s="51"/>
      <c r="F181" s="43"/>
      <c r="G181" s="43"/>
      <c r="H181" s="43"/>
      <c r="I181" s="51"/>
      <c r="J181" s="51"/>
      <c r="K181" s="51"/>
      <c r="L181" s="51"/>
    </row>
    <row r="182" customFormat="false" ht="15.75" hidden="false" customHeight="true" outlineLevel="0" collapsed="false">
      <c r="B182" s="43"/>
      <c r="C182" s="43"/>
      <c r="D182" s="43"/>
      <c r="E182" s="51"/>
      <c r="F182" s="43"/>
      <c r="G182" s="43"/>
      <c r="H182" s="43"/>
      <c r="I182" s="51"/>
      <c r="J182" s="51"/>
      <c r="K182" s="51"/>
      <c r="L182" s="51"/>
    </row>
    <row r="183" customFormat="false" ht="15.75" hidden="false" customHeight="true" outlineLevel="0" collapsed="false">
      <c r="B183" s="43"/>
      <c r="C183" s="43"/>
      <c r="D183" s="43"/>
      <c r="E183" s="51"/>
      <c r="F183" s="43"/>
      <c r="G183" s="43"/>
      <c r="H183" s="43"/>
      <c r="I183" s="51"/>
      <c r="J183" s="51"/>
      <c r="K183" s="51"/>
      <c r="L183" s="51"/>
    </row>
    <row r="184" customFormat="false" ht="15.75" hidden="false" customHeight="true" outlineLevel="0" collapsed="false">
      <c r="B184" s="43"/>
      <c r="C184" s="43"/>
      <c r="D184" s="43"/>
      <c r="E184" s="51"/>
      <c r="F184" s="43"/>
      <c r="G184" s="43"/>
      <c r="H184" s="43"/>
      <c r="I184" s="51"/>
      <c r="J184" s="51"/>
      <c r="K184" s="51"/>
      <c r="L184" s="51"/>
    </row>
    <row r="185" customFormat="false" ht="15.75" hidden="false" customHeight="true" outlineLevel="0" collapsed="false">
      <c r="B185" s="43"/>
      <c r="C185" s="43"/>
      <c r="D185" s="43"/>
      <c r="E185" s="51"/>
      <c r="F185" s="43"/>
      <c r="G185" s="43"/>
      <c r="H185" s="43"/>
      <c r="I185" s="51"/>
      <c r="J185" s="51"/>
      <c r="K185" s="51"/>
      <c r="L185" s="51"/>
    </row>
    <row r="186" customFormat="false" ht="15.75" hidden="false" customHeight="true" outlineLevel="0" collapsed="false">
      <c r="B186" s="43"/>
      <c r="C186" s="43"/>
      <c r="D186" s="43"/>
      <c r="E186" s="51"/>
      <c r="F186" s="43"/>
      <c r="G186" s="43"/>
      <c r="H186" s="43"/>
      <c r="I186" s="51"/>
      <c r="J186" s="51"/>
      <c r="K186" s="51"/>
      <c r="L186" s="51"/>
    </row>
    <row r="187" customFormat="false" ht="15.75" hidden="false" customHeight="true" outlineLevel="0" collapsed="false">
      <c r="B187" s="43"/>
      <c r="C187" s="43"/>
      <c r="D187" s="43"/>
      <c r="E187" s="51"/>
      <c r="F187" s="43"/>
      <c r="G187" s="43"/>
      <c r="H187" s="43"/>
      <c r="I187" s="51"/>
      <c r="J187" s="51"/>
      <c r="K187" s="51"/>
      <c r="L187" s="51"/>
    </row>
    <row r="188" customFormat="false" ht="15.75" hidden="false" customHeight="true" outlineLevel="0" collapsed="false">
      <c r="B188" s="43"/>
      <c r="C188" s="43"/>
      <c r="D188" s="43"/>
      <c r="E188" s="51"/>
      <c r="F188" s="43"/>
      <c r="G188" s="43"/>
      <c r="H188" s="43"/>
      <c r="I188" s="51"/>
      <c r="J188" s="51"/>
      <c r="K188" s="51"/>
      <c r="L188" s="51"/>
    </row>
    <row r="189" customFormat="false" ht="15.75" hidden="false" customHeight="true" outlineLevel="0" collapsed="false">
      <c r="B189" s="43"/>
      <c r="C189" s="43"/>
      <c r="D189" s="43"/>
      <c r="E189" s="51"/>
      <c r="F189" s="43"/>
      <c r="G189" s="43"/>
      <c r="H189" s="43"/>
      <c r="I189" s="51"/>
      <c r="J189" s="51"/>
      <c r="K189" s="51"/>
      <c r="L189" s="51"/>
    </row>
    <row r="190" customFormat="false" ht="15.75" hidden="false" customHeight="true" outlineLevel="0" collapsed="false">
      <c r="B190" s="43"/>
      <c r="C190" s="43"/>
      <c r="D190" s="43"/>
      <c r="E190" s="51"/>
      <c r="F190" s="43"/>
      <c r="G190" s="43"/>
      <c r="H190" s="43"/>
      <c r="I190" s="51"/>
      <c r="J190" s="51"/>
      <c r="K190" s="51"/>
      <c r="L190" s="51"/>
    </row>
    <row r="191" customFormat="false" ht="15.75" hidden="false" customHeight="true" outlineLevel="0" collapsed="false">
      <c r="B191" s="43"/>
      <c r="C191" s="43"/>
      <c r="D191" s="43"/>
      <c r="E191" s="51"/>
      <c r="F191" s="43"/>
      <c r="G191" s="43"/>
      <c r="H191" s="43"/>
      <c r="I191" s="51"/>
      <c r="J191" s="51"/>
      <c r="K191" s="51"/>
      <c r="L191" s="51"/>
    </row>
    <row r="192" customFormat="false" ht="15.75" hidden="false" customHeight="true" outlineLevel="0" collapsed="false">
      <c r="B192" s="43"/>
      <c r="C192" s="43"/>
      <c r="D192" s="43"/>
      <c r="E192" s="51"/>
      <c r="F192" s="43"/>
      <c r="G192" s="43"/>
      <c r="H192" s="43"/>
      <c r="I192" s="51"/>
      <c r="J192" s="51"/>
      <c r="K192" s="51"/>
      <c r="L192" s="51"/>
    </row>
    <row r="193" customFormat="false" ht="15.75" hidden="false" customHeight="true" outlineLevel="0" collapsed="false">
      <c r="B193" s="43"/>
      <c r="C193" s="43"/>
      <c r="D193" s="43"/>
      <c r="E193" s="51"/>
      <c r="F193" s="43"/>
      <c r="G193" s="43"/>
      <c r="H193" s="43"/>
      <c r="I193" s="51"/>
      <c r="J193" s="51"/>
      <c r="K193" s="51"/>
      <c r="L193" s="51"/>
    </row>
    <row r="194" customFormat="false" ht="15.75" hidden="false" customHeight="true" outlineLevel="0" collapsed="false">
      <c r="B194" s="43"/>
      <c r="C194" s="43"/>
      <c r="D194" s="43"/>
      <c r="E194" s="51"/>
      <c r="F194" s="43"/>
      <c r="G194" s="43"/>
      <c r="H194" s="43"/>
      <c r="I194" s="51"/>
      <c r="J194" s="51"/>
      <c r="K194" s="51"/>
      <c r="L194" s="51"/>
    </row>
    <row r="195" customFormat="false" ht="15.75" hidden="false" customHeight="true" outlineLevel="0" collapsed="false">
      <c r="B195" s="43"/>
      <c r="C195" s="43"/>
      <c r="D195" s="43"/>
      <c r="E195" s="51"/>
      <c r="F195" s="43"/>
      <c r="G195" s="43"/>
      <c r="H195" s="43"/>
      <c r="I195" s="51"/>
      <c r="J195" s="51"/>
      <c r="K195" s="51"/>
      <c r="L195" s="51"/>
    </row>
    <row r="196" customFormat="false" ht="15.75" hidden="false" customHeight="true" outlineLevel="0" collapsed="false">
      <c r="B196" s="43"/>
      <c r="C196" s="43"/>
      <c r="D196" s="43"/>
      <c r="E196" s="51"/>
      <c r="F196" s="43"/>
      <c r="G196" s="43"/>
      <c r="H196" s="43"/>
      <c r="I196" s="51"/>
      <c r="J196" s="51"/>
      <c r="K196" s="51"/>
      <c r="L196" s="51"/>
    </row>
    <row r="197" customFormat="false" ht="15.75" hidden="false" customHeight="true" outlineLevel="0" collapsed="false">
      <c r="B197" s="43"/>
      <c r="C197" s="43"/>
      <c r="D197" s="43"/>
      <c r="E197" s="51"/>
      <c r="F197" s="43"/>
      <c r="G197" s="43"/>
      <c r="H197" s="43"/>
      <c r="I197" s="51"/>
      <c r="J197" s="51"/>
      <c r="K197" s="51"/>
      <c r="L197" s="51"/>
    </row>
    <row r="198" customFormat="false" ht="15.75" hidden="false" customHeight="true" outlineLevel="0" collapsed="false">
      <c r="B198" s="43"/>
      <c r="C198" s="43"/>
      <c r="D198" s="43"/>
      <c r="E198" s="51"/>
      <c r="F198" s="43"/>
      <c r="G198" s="43"/>
      <c r="H198" s="43"/>
      <c r="I198" s="51"/>
      <c r="J198" s="51"/>
      <c r="K198" s="51"/>
      <c r="L198" s="51"/>
    </row>
    <row r="199" customFormat="false" ht="15.75" hidden="false" customHeight="true" outlineLevel="0" collapsed="false">
      <c r="B199" s="43"/>
      <c r="C199" s="43"/>
      <c r="D199" s="43"/>
      <c r="E199" s="51"/>
      <c r="F199" s="43"/>
      <c r="G199" s="43"/>
      <c r="H199" s="43"/>
      <c r="I199" s="51"/>
      <c r="J199" s="51"/>
      <c r="K199" s="51"/>
      <c r="L199" s="51"/>
    </row>
    <row r="200" customFormat="false" ht="15.75" hidden="false" customHeight="true" outlineLevel="0" collapsed="false">
      <c r="B200" s="43"/>
      <c r="C200" s="43"/>
      <c r="D200" s="43"/>
      <c r="E200" s="51"/>
      <c r="F200" s="43"/>
      <c r="G200" s="43"/>
      <c r="H200" s="43"/>
      <c r="I200" s="51"/>
      <c r="J200" s="51"/>
      <c r="K200" s="51"/>
      <c r="L200" s="51"/>
    </row>
    <row r="201" customFormat="false" ht="15.75" hidden="false" customHeight="true" outlineLevel="0" collapsed="false">
      <c r="B201" s="43"/>
      <c r="C201" s="43"/>
      <c r="D201" s="43"/>
      <c r="E201" s="51"/>
      <c r="F201" s="43"/>
      <c r="G201" s="43"/>
      <c r="H201" s="43"/>
      <c r="I201" s="51"/>
      <c r="J201" s="51"/>
      <c r="K201" s="51"/>
      <c r="L201" s="51"/>
    </row>
    <row r="202" customFormat="false" ht="15.75" hidden="false" customHeight="true" outlineLevel="0" collapsed="false">
      <c r="B202" s="43"/>
      <c r="C202" s="43"/>
      <c r="D202" s="43"/>
      <c r="E202" s="51"/>
      <c r="F202" s="43"/>
      <c r="G202" s="43"/>
      <c r="H202" s="43"/>
      <c r="I202" s="51"/>
      <c r="J202" s="51"/>
      <c r="K202" s="51"/>
      <c r="L202" s="51"/>
    </row>
    <row r="203" customFormat="false" ht="15.75" hidden="false" customHeight="true" outlineLevel="0" collapsed="false">
      <c r="B203" s="43"/>
      <c r="C203" s="43"/>
      <c r="D203" s="43"/>
      <c r="E203" s="51"/>
      <c r="F203" s="43"/>
      <c r="G203" s="43"/>
      <c r="H203" s="43"/>
      <c r="I203" s="51"/>
      <c r="J203" s="51"/>
      <c r="K203" s="51"/>
      <c r="L203" s="51"/>
    </row>
    <row r="204" customFormat="false" ht="15.75" hidden="false" customHeight="true" outlineLevel="0" collapsed="false">
      <c r="B204" s="43"/>
      <c r="C204" s="43"/>
      <c r="D204" s="43"/>
      <c r="E204" s="51"/>
      <c r="F204" s="43"/>
      <c r="G204" s="43"/>
      <c r="H204" s="43"/>
      <c r="I204" s="51"/>
      <c r="J204" s="51"/>
      <c r="K204" s="51"/>
      <c r="L204" s="51"/>
    </row>
    <row r="205" customFormat="false" ht="15.75" hidden="false" customHeight="true" outlineLevel="0" collapsed="false">
      <c r="B205" s="43"/>
      <c r="C205" s="43"/>
      <c r="D205" s="43"/>
      <c r="E205" s="51"/>
      <c r="F205" s="43"/>
      <c r="G205" s="43"/>
      <c r="H205" s="43"/>
      <c r="I205" s="51"/>
      <c r="J205" s="51"/>
      <c r="K205" s="51"/>
      <c r="L205" s="51"/>
    </row>
    <row r="206" customFormat="false" ht="15.75" hidden="false" customHeight="true" outlineLevel="0" collapsed="false">
      <c r="B206" s="43"/>
      <c r="C206" s="43"/>
      <c r="D206" s="43"/>
      <c r="E206" s="51"/>
      <c r="F206" s="43"/>
      <c r="G206" s="43"/>
      <c r="H206" s="43"/>
      <c r="I206" s="51"/>
      <c r="J206" s="51"/>
      <c r="K206" s="51"/>
      <c r="L206" s="51"/>
    </row>
    <row r="207" customFormat="false" ht="15.75" hidden="false" customHeight="true" outlineLevel="0" collapsed="false">
      <c r="B207" s="43"/>
      <c r="C207" s="43"/>
      <c r="D207" s="43"/>
      <c r="E207" s="51"/>
      <c r="F207" s="43"/>
      <c r="G207" s="43"/>
      <c r="H207" s="43"/>
      <c r="I207" s="51"/>
      <c r="J207" s="51"/>
      <c r="K207" s="51"/>
      <c r="L207" s="51"/>
    </row>
    <row r="208" customFormat="false" ht="15.75" hidden="false" customHeight="true" outlineLevel="0" collapsed="false">
      <c r="B208" s="43"/>
      <c r="C208" s="43"/>
      <c r="D208" s="43"/>
      <c r="E208" s="51"/>
      <c r="F208" s="43"/>
      <c r="G208" s="43"/>
      <c r="H208" s="43"/>
      <c r="I208" s="51"/>
      <c r="J208" s="51"/>
      <c r="K208" s="51"/>
      <c r="L208" s="51"/>
    </row>
    <row r="209" customFormat="false" ht="15.75" hidden="false" customHeight="true" outlineLevel="0" collapsed="false">
      <c r="B209" s="43"/>
      <c r="C209" s="43"/>
      <c r="D209" s="43"/>
      <c r="E209" s="51"/>
      <c r="F209" s="43"/>
      <c r="G209" s="43"/>
      <c r="H209" s="43"/>
      <c r="I209" s="51"/>
      <c r="J209" s="51"/>
      <c r="K209" s="51"/>
      <c r="L209" s="51"/>
    </row>
    <row r="210" customFormat="false" ht="15.75" hidden="false" customHeight="true" outlineLevel="0" collapsed="false">
      <c r="B210" s="43"/>
      <c r="C210" s="43"/>
      <c r="D210" s="43"/>
      <c r="E210" s="51"/>
      <c r="F210" s="43"/>
      <c r="G210" s="43"/>
      <c r="H210" s="43"/>
      <c r="I210" s="51"/>
      <c r="J210" s="51"/>
      <c r="K210" s="51"/>
      <c r="L210" s="51"/>
    </row>
    <row r="211" customFormat="false" ht="15.75" hidden="false" customHeight="true" outlineLevel="0" collapsed="false">
      <c r="B211" s="43"/>
      <c r="C211" s="43"/>
      <c r="D211" s="43"/>
      <c r="E211" s="51"/>
      <c r="F211" s="43"/>
      <c r="G211" s="43"/>
      <c r="H211" s="43"/>
      <c r="I211" s="51"/>
      <c r="J211" s="51"/>
      <c r="K211" s="51"/>
      <c r="L211" s="51"/>
    </row>
    <row r="212" customFormat="false" ht="15.75" hidden="false" customHeight="true" outlineLevel="0" collapsed="false">
      <c r="B212" s="43"/>
      <c r="C212" s="43"/>
      <c r="D212" s="43"/>
      <c r="E212" s="51"/>
      <c r="F212" s="43"/>
      <c r="G212" s="43"/>
      <c r="H212" s="43"/>
      <c r="I212" s="51"/>
      <c r="J212" s="51"/>
      <c r="K212" s="51"/>
      <c r="L212" s="51"/>
    </row>
    <row r="213" customFormat="false" ht="15.75" hidden="false" customHeight="true" outlineLevel="0" collapsed="false">
      <c r="B213" s="43"/>
      <c r="C213" s="43"/>
      <c r="D213" s="43"/>
      <c r="E213" s="51"/>
      <c r="F213" s="43"/>
      <c r="G213" s="43"/>
      <c r="H213" s="43"/>
      <c r="I213" s="51"/>
      <c r="J213" s="51"/>
      <c r="K213" s="51"/>
      <c r="L213" s="51"/>
    </row>
    <row r="214" customFormat="false" ht="15.75" hidden="false" customHeight="true" outlineLevel="0" collapsed="false">
      <c r="B214" s="43"/>
      <c r="C214" s="43"/>
      <c r="D214" s="43"/>
      <c r="E214" s="51"/>
      <c r="F214" s="43"/>
      <c r="G214" s="43"/>
      <c r="H214" s="43"/>
      <c r="I214" s="51"/>
      <c r="J214" s="51"/>
      <c r="K214" s="51"/>
      <c r="L214" s="51"/>
    </row>
    <row r="215" customFormat="false" ht="15.75" hidden="false" customHeight="true" outlineLevel="0" collapsed="false">
      <c r="B215" s="43"/>
      <c r="C215" s="43"/>
      <c r="D215" s="43"/>
      <c r="E215" s="51"/>
      <c r="F215" s="43"/>
      <c r="G215" s="43"/>
      <c r="H215" s="43"/>
      <c r="I215" s="51"/>
      <c r="J215" s="51"/>
      <c r="K215" s="51"/>
      <c r="L215" s="51"/>
    </row>
    <row r="216" customFormat="false" ht="15.75" hidden="false" customHeight="true" outlineLevel="0" collapsed="false">
      <c r="B216" s="43"/>
      <c r="C216" s="43"/>
      <c r="D216" s="43"/>
      <c r="E216" s="51"/>
      <c r="F216" s="43"/>
      <c r="G216" s="43"/>
      <c r="H216" s="43"/>
      <c r="I216" s="51"/>
      <c r="J216" s="51"/>
      <c r="K216" s="51"/>
      <c r="L216" s="51"/>
    </row>
    <row r="217" customFormat="false" ht="15.75" hidden="false" customHeight="true" outlineLevel="0" collapsed="false">
      <c r="B217" s="43"/>
      <c r="C217" s="43"/>
      <c r="D217" s="43"/>
      <c r="E217" s="51"/>
      <c r="F217" s="43"/>
      <c r="G217" s="43"/>
      <c r="H217" s="43"/>
      <c r="I217" s="51"/>
      <c r="J217" s="51"/>
      <c r="K217" s="51"/>
      <c r="L217" s="51"/>
    </row>
    <row r="218" customFormat="false" ht="15.75" hidden="false" customHeight="true" outlineLevel="0" collapsed="false">
      <c r="B218" s="43"/>
      <c r="C218" s="43"/>
      <c r="D218" s="43"/>
      <c r="E218" s="51"/>
      <c r="F218" s="43"/>
      <c r="G218" s="43"/>
      <c r="H218" s="43"/>
      <c r="I218" s="51"/>
      <c r="J218" s="51"/>
      <c r="K218" s="51"/>
      <c r="L218" s="51"/>
    </row>
    <row r="219" customFormat="false" ht="15.75" hidden="false" customHeight="true" outlineLevel="0" collapsed="false">
      <c r="B219" s="43"/>
      <c r="C219" s="43"/>
      <c r="D219" s="43"/>
      <c r="E219" s="51"/>
      <c r="F219" s="43"/>
      <c r="G219" s="43"/>
      <c r="H219" s="43"/>
      <c r="I219" s="51"/>
      <c r="J219" s="51"/>
      <c r="K219" s="51"/>
      <c r="L219" s="51"/>
    </row>
    <row r="220" customFormat="false" ht="15.75" hidden="false" customHeight="true" outlineLevel="0" collapsed="false">
      <c r="B220" s="43"/>
      <c r="C220" s="43"/>
      <c r="D220" s="43"/>
      <c r="E220" s="51"/>
      <c r="F220" s="43"/>
      <c r="G220" s="43"/>
      <c r="H220" s="43"/>
      <c r="I220" s="51"/>
      <c r="J220" s="51"/>
      <c r="K220" s="51"/>
      <c r="L220" s="51"/>
    </row>
    <row r="221" customFormat="false" ht="15.75" hidden="false" customHeight="true" outlineLevel="0" collapsed="false">
      <c r="B221" s="43"/>
      <c r="C221" s="43"/>
      <c r="D221" s="43"/>
      <c r="E221" s="51"/>
      <c r="F221" s="43"/>
      <c r="G221" s="43"/>
      <c r="H221" s="43"/>
      <c r="I221" s="51"/>
      <c r="J221" s="51"/>
      <c r="K221" s="51"/>
      <c r="L221" s="51"/>
    </row>
    <row r="222" customFormat="false" ht="15.75" hidden="false" customHeight="true" outlineLevel="0" collapsed="false">
      <c r="B222" s="43"/>
      <c r="C222" s="43"/>
      <c r="D222" s="43"/>
      <c r="E222" s="51"/>
      <c r="F222" s="43"/>
      <c r="G222" s="43"/>
      <c r="H222" s="43"/>
      <c r="I222" s="51"/>
      <c r="J222" s="51"/>
      <c r="K222" s="51"/>
      <c r="L222" s="51"/>
    </row>
    <row r="223" customFormat="false" ht="15.75" hidden="false" customHeight="true" outlineLevel="0" collapsed="false">
      <c r="B223" s="43"/>
      <c r="C223" s="43"/>
      <c r="D223" s="43"/>
      <c r="E223" s="51"/>
      <c r="F223" s="43"/>
      <c r="G223" s="43"/>
      <c r="H223" s="43"/>
      <c r="I223" s="51"/>
      <c r="J223" s="51"/>
      <c r="K223" s="51"/>
      <c r="L223" s="51"/>
    </row>
    <row r="224" customFormat="false" ht="15.75" hidden="false" customHeight="true" outlineLevel="0" collapsed="false">
      <c r="B224" s="43"/>
      <c r="C224" s="43"/>
      <c r="D224" s="43"/>
      <c r="E224" s="51"/>
      <c r="F224" s="43"/>
      <c r="G224" s="43"/>
      <c r="H224" s="43"/>
      <c r="I224" s="51"/>
      <c r="J224" s="51"/>
      <c r="K224" s="51"/>
      <c r="L224" s="51"/>
    </row>
    <row r="225" customFormat="false" ht="15.75" hidden="false" customHeight="true" outlineLevel="0" collapsed="false">
      <c r="B225" s="43"/>
      <c r="C225" s="43"/>
      <c r="D225" s="43"/>
      <c r="E225" s="51"/>
      <c r="F225" s="43"/>
      <c r="G225" s="43"/>
      <c r="H225" s="43"/>
      <c r="I225" s="51"/>
      <c r="J225" s="51"/>
      <c r="K225" s="51"/>
      <c r="L225" s="51"/>
    </row>
    <row r="226" customFormat="false" ht="15.75" hidden="false" customHeight="true" outlineLevel="0" collapsed="false">
      <c r="B226" s="43"/>
      <c r="C226" s="43"/>
      <c r="D226" s="43"/>
      <c r="E226" s="51"/>
      <c r="F226" s="43"/>
      <c r="G226" s="43"/>
      <c r="H226" s="43"/>
      <c r="I226" s="51"/>
      <c r="J226" s="51"/>
      <c r="K226" s="51"/>
      <c r="L226" s="51"/>
    </row>
    <row r="227" customFormat="false" ht="15.75" hidden="false" customHeight="true" outlineLevel="0" collapsed="false">
      <c r="B227" s="43"/>
      <c r="C227" s="43"/>
      <c r="D227" s="43"/>
      <c r="E227" s="51"/>
      <c r="F227" s="43"/>
      <c r="G227" s="43"/>
      <c r="H227" s="43"/>
      <c r="I227" s="51"/>
      <c r="J227" s="51"/>
      <c r="K227" s="51"/>
      <c r="L227" s="51"/>
    </row>
    <row r="228" customFormat="false" ht="15.75" hidden="false" customHeight="true" outlineLevel="0" collapsed="false">
      <c r="B228" s="43"/>
      <c r="C228" s="43"/>
      <c r="D228" s="43"/>
      <c r="E228" s="51"/>
      <c r="F228" s="43"/>
      <c r="G228" s="43"/>
      <c r="H228" s="43"/>
      <c r="I228" s="51"/>
      <c r="J228" s="51"/>
      <c r="K228" s="51"/>
      <c r="L228" s="51"/>
    </row>
    <row r="229" customFormat="false" ht="15.75" hidden="false" customHeight="true" outlineLevel="0" collapsed="false">
      <c r="B229" s="43"/>
      <c r="C229" s="43"/>
      <c r="D229" s="43"/>
      <c r="E229" s="51"/>
      <c r="F229" s="43"/>
      <c r="G229" s="43"/>
      <c r="H229" s="43"/>
      <c r="I229" s="51"/>
      <c r="J229" s="51"/>
      <c r="K229" s="51"/>
      <c r="L229" s="51"/>
    </row>
    <row r="230" customFormat="false" ht="15.75" hidden="false" customHeight="true" outlineLevel="0" collapsed="false">
      <c r="B230" s="43"/>
      <c r="C230" s="43"/>
      <c r="D230" s="43"/>
      <c r="E230" s="51"/>
      <c r="F230" s="43"/>
      <c r="G230" s="43"/>
      <c r="H230" s="43"/>
      <c r="I230" s="51"/>
      <c r="J230" s="51"/>
      <c r="K230" s="51"/>
      <c r="L230" s="51"/>
    </row>
    <row r="231" customFormat="false" ht="15.75" hidden="false" customHeight="true" outlineLevel="0" collapsed="false">
      <c r="B231" s="43"/>
      <c r="C231" s="43"/>
      <c r="D231" s="43"/>
      <c r="E231" s="51"/>
      <c r="F231" s="43"/>
      <c r="G231" s="43"/>
      <c r="H231" s="43"/>
      <c r="I231" s="51"/>
      <c r="J231" s="51"/>
      <c r="K231" s="51"/>
      <c r="L231" s="51"/>
    </row>
    <row r="232" customFormat="false" ht="15.75" hidden="false" customHeight="true" outlineLevel="0" collapsed="false">
      <c r="B232" s="43"/>
      <c r="C232" s="43"/>
      <c r="D232" s="43"/>
      <c r="E232" s="51"/>
      <c r="F232" s="43"/>
      <c r="G232" s="43"/>
      <c r="H232" s="43"/>
      <c r="I232" s="51"/>
      <c r="J232" s="51"/>
      <c r="K232" s="51"/>
      <c r="L232" s="51"/>
    </row>
    <row r="233" customFormat="false" ht="15.75" hidden="false" customHeight="true" outlineLevel="0" collapsed="false">
      <c r="B233" s="43"/>
      <c r="C233" s="43"/>
      <c r="D233" s="43"/>
      <c r="E233" s="51"/>
      <c r="F233" s="43"/>
      <c r="G233" s="43"/>
      <c r="H233" s="43"/>
      <c r="I233" s="51"/>
      <c r="J233" s="51"/>
      <c r="K233" s="51"/>
      <c r="L233" s="51"/>
    </row>
    <row r="234" customFormat="false" ht="15.75" hidden="false" customHeight="true" outlineLevel="0" collapsed="false">
      <c r="B234" s="43"/>
      <c r="C234" s="43"/>
      <c r="D234" s="43"/>
      <c r="E234" s="51"/>
      <c r="F234" s="43"/>
      <c r="G234" s="43"/>
      <c r="H234" s="43"/>
      <c r="I234" s="51"/>
      <c r="J234" s="51"/>
      <c r="K234" s="51"/>
      <c r="L234" s="51"/>
    </row>
    <row r="235" customFormat="false" ht="15.75" hidden="false" customHeight="true" outlineLevel="0" collapsed="false">
      <c r="B235" s="43"/>
      <c r="C235" s="43"/>
      <c r="D235" s="43"/>
      <c r="E235" s="51"/>
      <c r="F235" s="43"/>
      <c r="G235" s="43"/>
      <c r="H235" s="43"/>
      <c r="I235" s="51"/>
      <c r="J235" s="51"/>
      <c r="K235" s="51"/>
      <c r="L235" s="51"/>
    </row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B1:E1"/>
    <mergeCell ref="F1:I1"/>
    <mergeCell ref="J1:L1"/>
  </mergeCells>
  <hyperlinks>
    <hyperlink ref="N1" location="'Índice'!A1" display="← Volver al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16.14"/>
    <col collapsed="false" customWidth="true" hidden="false" outlineLevel="0" max="3" min="3" style="0" width="12.29"/>
    <col collapsed="false" customWidth="true" hidden="false" outlineLevel="0" max="4" min="4" style="0" width="12.71"/>
    <col collapsed="false" customWidth="true" hidden="false" outlineLevel="0" max="5" min="5" style="0" width="12.29"/>
    <col collapsed="false" customWidth="true" hidden="false" outlineLevel="0" max="6" min="6" style="0" width="13.29"/>
    <col collapsed="false" customWidth="true" hidden="false" outlineLevel="0" max="7" min="7" style="0" width="12.15"/>
    <col collapsed="false" customWidth="true" hidden="false" outlineLevel="0" max="8" min="8" style="0" width="14.86"/>
    <col collapsed="false" customWidth="true" hidden="false" outlineLevel="0" max="9" min="9" style="0" width="14.29"/>
    <col collapsed="false" customWidth="true" hidden="false" outlineLevel="0" max="10" min="10" style="0" width="15.71"/>
    <col collapsed="false" customWidth="true" hidden="false" outlineLevel="0" max="11" min="11" style="0" width="13.43"/>
    <col collapsed="false" customWidth="true" hidden="false" outlineLevel="0" max="12" min="12" style="0" width="12.29"/>
    <col collapsed="false" customWidth="true" hidden="false" outlineLevel="0" max="15" min="13" style="0" width="10.71"/>
  </cols>
  <sheetData>
    <row r="1" customFormat="false" ht="15" hidden="false" customHeight="false" outlineLevel="0" collapsed="false">
      <c r="A1" s="11"/>
      <c r="B1" s="12"/>
      <c r="C1" s="13" t="s">
        <v>36</v>
      </c>
      <c r="D1" s="13"/>
      <c r="E1" s="13"/>
      <c r="F1" s="13"/>
      <c r="G1" s="13" t="s">
        <v>37</v>
      </c>
      <c r="H1" s="13"/>
      <c r="I1" s="13"/>
      <c r="J1" s="13"/>
      <c r="K1" s="36" t="s">
        <v>38</v>
      </c>
      <c r="L1" s="36"/>
      <c r="M1" s="36"/>
      <c r="O1" s="15" t="s">
        <v>39</v>
      </c>
    </row>
    <row r="2" customFormat="false" ht="15" hidden="false" customHeight="false" outlineLevel="0" collapsed="false">
      <c r="A2" s="16" t="s">
        <v>40</v>
      </c>
      <c r="B2" s="17" t="s">
        <v>41</v>
      </c>
      <c r="C2" s="18" t="s">
        <v>42</v>
      </c>
      <c r="D2" s="19" t="s">
        <v>43</v>
      </c>
      <c r="E2" s="19" t="s">
        <v>44</v>
      </c>
      <c r="F2" s="20" t="s">
        <v>45</v>
      </c>
      <c r="G2" s="18" t="s">
        <v>46</v>
      </c>
      <c r="H2" s="19" t="s">
        <v>47</v>
      </c>
      <c r="I2" s="19" t="s">
        <v>48</v>
      </c>
      <c r="J2" s="20" t="s">
        <v>49</v>
      </c>
      <c r="K2" s="21" t="s">
        <v>50</v>
      </c>
      <c r="L2" s="21" t="s">
        <v>51</v>
      </c>
      <c r="M2" s="21" t="s">
        <v>52</v>
      </c>
    </row>
    <row r="3" customFormat="false" ht="15" hidden="false" customHeight="false" outlineLevel="0" collapsed="false">
      <c r="A3" s="23" t="s">
        <v>53</v>
      </c>
      <c r="B3" s="24" t="s">
        <v>54</v>
      </c>
      <c r="C3" s="42" t="n">
        <v>11520.5912836502</v>
      </c>
      <c r="D3" s="43" t="n">
        <v>10469.3744679492</v>
      </c>
      <c r="E3" s="43" t="n">
        <v>12097.9819244358</v>
      </c>
      <c r="F3" s="44" t="n">
        <v>0.134618109587114</v>
      </c>
      <c r="G3" s="42" t="n">
        <v>9460</v>
      </c>
      <c r="H3" s="43" t="n">
        <v>8600</v>
      </c>
      <c r="I3" s="43" t="n">
        <v>10320</v>
      </c>
      <c r="J3" s="52" t="n">
        <v>0.166666666666667</v>
      </c>
      <c r="K3" s="23" t="n">
        <v>322.682252287106</v>
      </c>
      <c r="L3" s="24" t="n">
        <v>322.687727642174</v>
      </c>
      <c r="M3" s="53" t="b">
        <f aca="false">TRUE()</f>
        <v>1</v>
      </c>
    </row>
    <row r="4" customFormat="false" ht="15" hidden="false" customHeight="false" outlineLevel="0" collapsed="false">
      <c r="A4" s="29" t="s">
        <v>53</v>
      </c>
      <c r="B4" s="30" t="s">
        <v>55</v>
      </c>
      <c r="C4" s="48" t="n">
        <v>6352.51391204063</v>
      </c>
      <c r="D4" s="49" t="n">
        <v>5663.38442604</v>
      </c>
      <c r="E4" s="49" t="n">
        <v>7298.93174250615</v>
      </c>
      <c r="F4" s="50" t="n">
        <v>0.224080368767029</v>
      </c>
      <c r="G4" s="48" t="n">
        <v>4300</v>
      </c>
      <c r="H4" s="49" t="n">
        <v>3870</v>
      </c>
      <c r="I4" s="49" t="n">
        <v>5160</v>
      </c>
      <c r="J4" s="54" t="n">
        <v>0.25</v>
      </c>
      <c r="K4" s="29" t="n">
        <v>322.673090007114</v>
      </c>
      <c r="L4" s="30" t="n">
        <v>322.665134585585</v>
      </c>
      <c r="M4" s="55" t="b">
        <f aca="false">TRUE()</f>
        <v>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C1:F1"/>
    <mergeCell ref="G1:J1"/>
    <mergeCell ref="K1:M1"/>
  </mergeCells>
  <hyperlinks>
    <hyperlink ref="O1" location="'Índice'!A1" display="← Volver al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4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17"/>
    <col collapsed="false" customWidth="true" hidden="false" outlineLevel="0" max="11" min="10" style="0" width="13"/>
    <col collapsed="false" customWidth="true" hidden="false" outlineLevel="0" max="18" min="12" style="0" width="12"/>
    <col collapsed="false" customWidth="true" hidden="false" outlineLevel="0" max="19" min="19" style="0" width="8.71"/>
    <col collapsed="false" customWidth="true" hidden="false" outlineLevel="0" max="20" min="20" style="0" width="20"/>
    <col collapsed="false" customWidth="true" hidden="false" outlineLevel="0" max="26" min="21" style="0" width="8.71"/>
  </cols>
  <sheetData>
    <row r="1" customFormat="false" ht="15" hidden="false" customHeight="false" outlineLevel="0" collapsed="false">
      <c r="A1" s="56"/>
      <c r="B1" s="56" t="s">
        <v>36</v>
      </c>
      <c r="C1" s="56"/>
      <c r="D1" s="56"/>
      <c r="E1" s="56"/>
      <c r="F1" s="56" t="s">
        <v>37</v>
      </c>
      <c r="G1" s="56"/>
      <c r="H1" s="56"/>
      <c r="I1" s="56"/>
      <c r="J1" s="57" t="s">
        <v>38</v>
      </c>
      <c r="K1" s="57"/>
      <c r="L1" s="57"/>
      <c r="M1" s="58" t="s">
        <v>89</v>
      </c>
      <c r="N1" s="58"/>
      <c r="O1" s="58"/>
      <c r="P1" s="58"/>
      <c r="Q1" s="58"/>
      <c r="R1" s="58"/>
      <c r="T1" s="15" t="s">
        <v>39</v>
      </c>
    </row>
    <row r="2" customFormat="false" ht="15" hidden="false" customHeight="false" outlineLevel="0" collapsed="false">
      <c r="A2" s="16" t="s">
        <v>40</v>
      </c>
      <c r="B2" s="18" t="s">
        <v>42</v>
      </c>
      <c r="C2" s="19" t="s">
        <v>43</v>
      </c>
      <c r="D2" s="19" t="s">
        <v>44</v>
      </c>
      <c r="E2" s="20" t="s">
        <v>45</v>
      </c>
      <c r="F2" s="16" t="s">
        <v>46</v>
      </c>
      <c r="G2" s="17" t="s">
        <v>47</v>
      </c>
      <c r="H2" s="17" t="s">
        <v>48</v>
      </c>
      <c r="I2" s="17" t="s">
        <v>49</v>
      </c>
      <c r="J2" s="59" t="s">
        <v>50</v>
      </c>
      <c r="K2" s="60" t="s">
        <v>51</v>
      </c>
      <c r="L2" s="60" t="s">
        <v>52</v>
      </c>
      <c r="M2" s="16" t="s">
        <v>90</v>
      </c>
      <c r="N2" s="17" t="s">
        <v>91</v>
      </c>
      <c r="O2" s="17" t="s">
        <v>92</v>
      </c>
      <c r="P2" s="17" t="s">
        <v>93</v>
      </c>
      <c r="Q2" s="17" t="s">
        <v>94</v>
      </c>
      <c r="R2" s="61" t="s">
        <v>95</v>
      </c>
    </row>
    <row r="3" customFormat="false" ht="15" hidden="false" customHeight="false" outlineLevel="0" collapsed="false">
      <c r="A3" s="29" t="s">
        <v>53</v>
      </c>
      <c r="B3" s="48" t="n">
        <v>11520.5912836502</v>
      </c>
      <c r="C3" s="49" t="n">
        <v>10469.3744679492</v>
      </c>
      <c r="D3" s="49" t="n">
        <v>12097.9819244358</v>
      </c>
      <c r="E3" s="50" t="n">
        <v>0.134618109587114</v>
      </c>
      <c r="F3" s="48" t="n">
        <v>9460</v>
      </c>
      <c r="G3" s="49" t="n">
        <v>8600</v>
      </c>
      <c r="H3" s="49" t="n">
        <v>10320</v>
      </c>
      <c r="I3" s="62" t="n">
        <v>0.166666666666667</v>
      </c>
      <c r="J3" s="63" t="n">
        <v>322.682252287106</v>
      </c>
      <c r="K3" s="64" t="n">
        <v>322.687727642174</v>
      </c>
      <c r="L3" s="65" t="b">
        <f aca="false">TRUE()</f>
        <v>1</v>
      </c>
      <c r="M3" s="48" t="n">
        <v>7310</v>
      </c>
      <c r="N3" s="49" t="n">
        <v>6450</v>
      </c>
      <c r="O3" s="49" t="n">
        <v>7740</v>
      </c>
      <c r="P3" s="49" t="n">
        <v>12900</v>
      </c>
      <c r="Q3" s="49" t="n">
        <v>12040</v>
      </c>
      <c r="R3" s="66" t="n">
        <v>13936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B1:E1"/>
    <mergeCell ref="F1:I1"/>
    <mergeCell ref="J1:L1"/>
    <mergeCell ref="M1:R1"/>
  </mergeCells>
  <hyperlinks>
    <hyperlink ref="T1" location="'Índice'!A1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7"/>
    <col collapsed="false" customWidth="true" hidden="false" outlineLevel="0" max="12" min="11" style="0" width="13"/>
    <col collapsed="false" customWidth="true" hidden="false" outlineLevel="0" max="13" min="13" style="0" width="12"/>
    <col collapsed="false" customWidth="true" hidden="false" outlineLevel="0" max="14" min="14" style="0" width="8.71"/>
    <col collapsed="false" customWidth="true" hidden="false" outlineLevel="0" max="15" min="15" style="0" width="20"/>
    <col collapsed="false" customWidth="true" hidden="false" outlineLevel="0" max="26" min="16" style="0" width="8.71"/>
  </cols>
  <sheetData>
    <row r="1" customFormat="false" ht="15" hidden="false" customHeight="false" outlineLevel="0" collapsed="false">
      <c r="A1" s="67"/>
      <c r="B1" s="67"/>
      <c r="C1" s="68" t="s">
        <v>36</v>
      </c>
      <c r="D1" s="68"/>
      <c r="E1" s="68"/>
      <c r="F1" s="68"/>
      <c r="G1" s="68" t="s">
        <v>37</v>
      </c>
      <c r="H1" s="68"/>
      <c r="I1" s="68"/>
      <c r="J1" s="68"/>
      <c r="K1" s="69" t="s">
        <v>38</v>
      </c>
      <c r="L1" s="69"/>
      <c r="M1" s="69"/>
      <c r="O1" s="15" t="s">
        <v>39</v>
      </c>
    </row>
    <row r="2" customFormat="false" ht="15" hidden="false" customHeight="false" outlineLevel="0" collapsed="false">
      <c r="A2" s="17" t="s">
        <v>40</v>
      </c>
      <c r="B2" s="17" t="s">
        <v>41</v>
      </c>
      <c r="C2" s="16" t="s">
        <v>42</v>
      </c>
      <c r="D2" s="17" t="s">
        <v>43</v>
      </c>
      <c r="E2" s="17" t="s">
        <v>44</v>
      </c>
      <c r="F2" s="17" t="s">
        <v>45</v>
      </c>
      <c r="G2" s="16" t="s">
        <v>46</v>
      </c>
      <c r="H2" s="17" t="s">
        <v>47</v>
      </c>
      <c r="I2" s="17" t="s">
        <v>48</v>
      </c>
      <c r="J2" s="17" t="s">
        <v>49</v>
      </c>
      <c r="K2" s="59" t="s">
        <v>50</v>
      </c>
      <c r="L2" s="60" t="s">
        <v>51</v>
      </c>
      <c r="M2" s="60" t="s">
        <v>52</v>
      </c>
    </row>
    <row r="3" customFormat="false" ht="15" hidden="false" customHeight="false" outlineLevel="0" collapsed="false">
      <c r="A3" s="24" t="s">
        <v>53</v>
      </c>
      <c r="B3" s="24" t="s">
        <v>96</v>
      </c>
      <c r="C3" s="42" t="n">
        <v>13898.0639103994</v>
      </c>
      <c r="D3" s="43" t="n">
        <v>12696.2455547364</v>
      </c>
      <c r="E3" s="43" t="n">
        <v>14657.174219743</v>
      </c>
      <c r="F3" s="70" t="n">
        <v>0.133786269823098</v>
      </c>
      <c r="G3" s="42" t="n">
        <v>11600</v>
      </c>
      <c r="H3" s="43" t="n">
        <v>10750</v>
      </c>
      <c r="I3" s="43" t="n">
        <v>12040</v>
      </c>
      <c r="J3" s="70" t="n">
        <v>0.107142857142857</v>
      </c>
      <c r="K3" s="71" t="n">
        <v>322.672222160629</v>
      </c>
      <c r="L3" s="72" t="n">
        <v>322.680391349979</v>
      </c>
      <c r="M3" s="73" t="b">
        <f aca="false">TRUE()</f>
        <v>1</v>
      </c>
    </row>
    <row r="4" customFormat="false" ht="15" hidden="false" customHeight="false" outlineLevel="0" collapsed="false">
      <c r="A4" s="24" t="s">
        <v>53</v>
      </c>
      <c r="B4" s="24" t="s">
        <v>97</v>
      </c>
      <c r="C4" s="42" t="n">
        <v>9127.69386045666</v>
      </c>
      <c r="D4" s="43" t="n">
        <v>7772.54591706443</v>
      </c>
      <c r="E4" s="43" t="n">
        <v>9770.49754980454</v>
      </c>
      <c r="F4" s="70" t="n">
        <v>0.204488217980268</v>
      </c>
      <c r="G4" s="42" t="n">
        <v>7800</v>
      </c>
      <c r="H4" s="43" t="n">
        <v>6450</v>
      </c>
      <c r="I4" s="43" t="n">
        <v>8600</v>
      </c>
      <c r="J4" s="70" t="n">
        <v>0.25</v>
      </c>
      <c r="K4" s="71" t="n">
        <v>322.667542153001</v>
      </c>
      <c r="L4" s="72" t="n">
        <v>322.681659635688</v>
      </c>
      <c r="M4" s="73" t="b">
        <f aca="false">TRUE()</f>
        <v>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C1:F1"/>
    <mergeCell ref="G1:J1"/>
    <mergeCell ref="K1:M1"/>
  </mergeCells>
  <hyperlinks>
    <hyperlink ref="O1" location="'Índice'!A1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31.43"/>
    <col collapsed="false" customWidth="true" hidden="false" outlineLevel="0" max="3" min="3" style="0" width="10.71"/>
    <col collapsed="false" customWidth="true" hidden="false" outlineLevel="0" max="4" min="4" style="0" width="12.71"/>
    <col collapsed="false" customWidth="true" hidden="false" outlineLevel="0" max="5" min="5" style="0" width="12.29"/>
    <col collapsed="false" customWidth="true" hidden="false" outlineLevel="0" max="7" min="7" style="0" width="12.15"/>
    <col collapsed="false" customWidth="true" hidden="false" outlineLevel="0" max="9" min="8" style="0" width="10.71"/>
    <col collapsed="false" customWidth="true" hidden="false" outlineLevel="0" max="10" min="10" style="0" width="15.43"/>
    <col collapsed="false" customWidth="true" hidden="false" outlineLevel="0" max="14" min="11" style="0" width="10.71"/>
    <col collapsed="false" customWidth="true" hidden="false" outlineLevel="0" max="15" min="15" style="0" width="20"/>
  </cols>
  <sheetData>
    <row r="1" customFormat="false" ht="15" hidden="false" customHeight="false" outlineLevel="0" collapsed="false">
      <c r="A1" s="11"/>
      <c r="B1" s="12"/>
      <c r="C1" s="13" t="s">
        <v>36</v>
      </c>
      <c r="D1" s="13"/>
      <c r="E1" s="13"/>
      <c r="F1" s="13"/>
      <c r="G1" s="13" t="s">
        <v>37</v>
      </c>
      <c r="H1" s="13"/>
      <c r="I1" s="13"/>
      <c r="J1" s="13"/>
      <c r="K1" s="14" t="s">
        <v>38</v>
      </c>
      <c r="L1" s="14"/>
      <c r="M1" s="14"/>
      <c r="O1" s="15" t="s">
        <v>39</v>
      </c>
    </row>
    <row r="2" customFormat="false" ht="15" hidden="false" customHeight="false" outlineLevel="0" collapsed="false">
      <c r="A2" s="16" t="s">
        <v>40</v>
      </c>
      <c r="B2" s="17" t="s">
        <v>41</v>
      </c>
      <c r="C2" s="18" t="s">
        <v>42</v>
      </c>
      <c r="D2" s="19" t="s">
        <v>43</v>
      </c>
      <c r="E2" s="19" t="s">
        <v>44</v>
      </c>
      <c r="F2" s="20" t="s">
        <v>45</v>
      </c>
      <c r="G2" s="18" t="s">
        <v>46</v>
      </c>
      <c r="H2" s="19" t="s">
        <v>47</v>
      </c>
      <c r="I2" s="19" t="s">
        <v>48</v>
      </c>
      <c r="J2" s="20" t="s">
        <v>49</v>
      </c>
      <c r="K2" s="74" t="s">
        <v>50</v>
      </c>
      <c r="L2" s="75" t="s">
        <v>51</v>
      </c>
      <c r="M2" s="76" t="s">
        <v>52</v>
      </c>
    </row>
    <row r="3" customFormat="false" ht="15" hidden="false" customHeight="false" outlineLevel="0" collapsed="false">
      <c r="A3" s="23" t="s">
        <v>53</v>
      </c>
      <c r="B3" s="24" t="s">
        <v>98</v>
      </c>
      <c r="C3" s="77" t="n">
        <v>25861.186859485</v>
      </c>
      <c r="D3" s="78" t="n">
        <v>23595.8431834281</v>
      </c>
      <c r="E3" s="78" t="n">
        <v>27256.5589907074</v>
      </c>
      <c r="F3" s="79" t="n">
        <v>0.134305867755623</v>
      </c>
      <c r="G3" s="80" t="n">
        <v>18000</v>
      </c>
      <c r="H3" s="81" t="n">
        <v>17200</v>
      </c>
      <c r="I3" s="81" t="n">
        <v>20000</v>
      </c>
      <c r="J3" s="82" t="n">
        <v>0.14</v>
      </c>
      <c r="K3" s="83" t="n">
        <v>322.033283439613</v>
      </c>
      <c r="L3" s="84" t="n">
        <v>322.286854769835</v>
      </c>
      <c r="M3" s="85" t="b">
        <f aca="false">TRUE()</f>
        <v>1</v>
      </c>
    </row>
    <row r="4" customFormat="false" ht="15" hidden="false" customHeight="false" outlineLevel="0" collapsed="false">
      <c r="A4" s="23" t="s">
        <v>53</v>
      </c>
      <c r="B4" s="24" t="s">
        <v>99</v>
      </c>
      <c r="C4" s="77" t="n">
        <v>19552.8617828882</v>
      </c>
      <c r="D4" s="78" t="n">
        <v>18028.1010119287</v>
      </c>
      <c r="E4" s="78" t="n">
        <v>20568.7743848259</v>
      </c>
      <c r="F4" s="79" t="n">
        <v>0.123520892658122</v>
      </c>
      <c r="G4" s="80" t="n">
        <v>16000</v>
      </c>
      <c r="H4" s="81" t="n">
        <v>15050</v>
      </c>
      <c r="I4" s="81" t="n">
        <v>17000</v>
      </c>
      <c r="J4" s="82" t="n">
        <v>0.114705882352941</v>
      </c>
      <c r="K4" s="83" t="n">
        <v>322.000219144233</v>
      </c>
      <c r="L4" s="84" t="n">
        <v>322.2315511758</v>
      </c>
      <c r="M4" s="85" t="b">
        <f aca="false">TRUE()</f>
        <v>1</v>
      </c>
    </row>
    <row r="5" customFormat="false" ht="15" hidden="false" customHeight="false" outlineLevel="0" collapsed="false">
      <c r="A5" s="23" t="s">
        <v>53</v>
      </c>
      <c r="B5" s="24" t="s">
        <v>100</v>
      </c>
      <c r="C5" s="77" t="n">
        <v>20045.5421027969</v>
      </c>
      <c r="D5" s="78" t="n">
        <v>17816.2724399136</v>
      </c>
      <c r="E5" s="78" t="n">
        <v>22064.3914816701</v>
      </c>
      <c r="F5" s="79" t="n">
        <v>0.192532798617429</v>
      </c>
      <c r="G5" s="80" t="n">
        <v>17000</v>
      </c>
      <c r="H5" s="81" t="n">
        <v>15200</v>
      </c>
      <c r="I5" s="81" t="n">
        <v>18800</v>
      </c>
      <c r="J5" s="82" t="n">
        <v>0.191489361702128</v>
      </c>
      <c r="K5" s="83" t="n">
        <v>322.539620550937</v>
      </c>
      <c r="L5" s="84" t="n">
        <v>322.554223803536</v>
      </c>
      <c r="M5" s="85" t="b">
        <f aca="false">TRUE()</f>
        <v>1</v>
      </c>
    </row>
    <row r="6" customFormat="false" ht="15" hidden="false" customHeight="false" outlineLevel="0" collapsed="false">
      <c r="A6" s="23" t="s">
        <v>53</v>
      </c>
      <c r="B6" s="24" t="s">
        <v>101</v>
      </c>
      <c r="C6" s="86" t="n">
        <v>14152.4590108091</v>
      </c>
      <c r="D6" s="87" t="n">
        <v>13082.4329911077</v>
      </c>
      <c r="E6" s="87" t="n">
        <v>14587.0990454552</v>
      </c>
      <c r="F6" s="88" t="n">
        <v>0.103150465329588</v>
      </c>
      <c r="G6" s="80" t="n">
        <v>12900</v>
      </c>
      <c r="H6" s="81" t="n">
        <v>12000</v>
      </c>
      <c r="I6" s="81" t="n">
        <v>12900</v>
      </c>
      <c r="J6" s="82" t="n">
        <v>0.0697674418604651</v>
      </c>
      <c r="K6" s="83" t="n">
        <v>322.487614841449</v>
      </c>
      <c r="L6" s="84" t="n">
        <v>322.610376644611</v>
      </c>
      <c r="M6" s="85" t="b">
        <f aca="false">TRUE()</f>
        <v>1</v>
      </c>
    </row>
    <row r="7" customFormat="false" ht="15" hidden="false" customHeight="false" outlineLevel="0" collapsed="false">
      <c r="A7" s="23" t="s">
        <v>53</v>
      </c>
      <c r="B7" s="24" t="s">
        <v>102</v>
      </c>
      <c r="C7" s="77" t="n">
        <v>14818.4424810135</v>
      </c>
      <c r="D7" s="78" t="n">
        <v>12287.2052946108</v>
      </c>
      <c r="E7" s="78" t="n">
        <v>16497.9299763472</v>
      </c>
      <c r="F7" s="79" t="n">
        <v>0.25522745506698</v>
      </c>
      <c r="G7" s="80" t="n">
        <v>12470</v>
      </c>
      <c r="H7" s="81" t="n">
        <v>10750</v>
      </c>
      <c r="I7" s="81" t="n">
        <v>14000</v>
      </c>
      <c r="J7" s="82" t="n">
        <v>0.232142857142857</v>
      </c>
      <c r="K7" s="83" t="n">
        <v>322.367532859925</v>
      </c>
      <c r="L7" s="84" t="n">
        <v>322.477448204469</v>
      </c>
      <c r="M7" s="85" t="b">
        <f aca="false">TRUE()</f>
        <v>1</v>
      </c>
    </row>
    <row r="8" customFormat="false" ht="15" hidden="false" customHeight="false" outlineLevel="0" collapsed="false">
      <c r="A8" s="23" t="s">
        <v>53</v>
      </c>
      <c r="B8" s="24" t="s">
        <v>103</v>
      </c>
      <c r="C8" s="86" t="n">
        <v>12145.3762866031</v>
      </c>
      <c r="D8" s="87" t="n">
        <v>10765.1540862607</v>
      </c>
      <c r="E8" s="87" t="n">
        <v>12685.5965477134</v>
      </c>
      <c r="F8" s="88" t="n">
        <v>0.151387635120626</v>
      </c>
      <c r="G8" s="80" t="n">
        <v>10750</v>
      </c>
      <c r="H8" s="81" t="n">
        <v>9460</v>
      </c>
      <c r="I8" s="81" t="n">
        <v>11180</v>
      </c>
      <c r="J8" s="82" t="n">
        <v>0.153846153846154</v>
      </c>
      <c r="K8" s="89" t="n">
        <v>322.472463442635</v>
      </c>
      <c r="L8" s="84" t="n">
        <v>322.607510469075</v>
      </c>
      <c r="M8" s="85" t="b">
        <f aca="false">TRUE()</f>
        <v>1</v>
      </c>
    </row>
    <row r="9" customFormat="false" ht="15" hidden="false" customHeight="false" outlineLevel="0" collapsed="false">
      <c r="A9" s="23" t="s">
        <v>53</v>
      </c>
      <c r="B9" s="24" t="s">
        <v>104</v>
      </c>
      <c r="C9" s="86" t="n">
        <v>11684.4378581816</v>
      </c>
      <c r="D9" s="87" t="n">
        <v>9927.34695940256</v>
      </c>
      <c r="E9" s="87" t="n">
        <v>12423.4029621464</v>
      </c>
      <c r="F9" s="88" t="n">
        <v>0.200915643672611</v>
      </c>
      <c r="G9" s="90" t="n">
        <v>10750</v>
      </c>
      <c r="H9" s="81" t="n">
        <v>8600</v>
      </c>
      <c r="I9" s="81" t="n">
        <v>10750</v>
      </c>
      <c r="J9" s="82" t="n">
        <v>0.2</v>
      </c>
      <c r="K9" s="89" t="n">
        <v>322.646299550086</v>
      </c>
      <c r="L9" s="91" t="n">
        <v>322.67416904652</v>
      </c>
      <c r="M9" s="85" t="b">
        <f aca="false">TRUE()</f>
        <v>1</v>
      </c>
    </row>
    <row r="10" customFormat="false" ht="15" hidden="false" customHeight="false" outlineLevel="0" collapsed="false">
      <c r="A10" s="29" t="s">
        <v>53</v>
      </c>
      <c r="B10" s="30" t="s">
        <v>105</v>
      </c>
      <c r="C10" s="92" t="n">
        <v>8602.20309162446</v>
      </c>
      <c r="D10" s="93" t="n">
        <v>8290.11647972937</v>
      </c>
      <c r="E10" s="93" t="n">
        <v>8806.58875675295</v>
      </c>
      <c r="F10" s="94" t="n">
        <v>0.0586461218173207</v>
      </c>
      <c r="G10" s="95" t="n">
        <v>7740</v>
      </c>
      <c r="H10" s="96" t="n">
        <v>7740</v>
      </c>
      <c r="I10" s="96" t="n">
        <v>8000</v>
      </c>
      <c r="J10" s="97" t="n">
        <v>0.0325</v>
      </c>
      <c r="K10" s="98" t="n">
        <v>322.66920075652</v>
      </c>
      <c r="L10" s="99" t="n">
        <v>322.67789655915</v>
      </c>
      <c r="M10" s="100" t="b">
        <f aca="false">TRUE()</f>
        <v>1</v>
      </c>
    </row>
    <row r="11" customFormat="false" ht="15" hidden="false" customHeight="false" outlineLevel="0" collapsed="false">
      <c r="B11" s="24" t="s">
        <v>106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C1:F1"/>
    <mergeCell ref="G1:J1"/>
    <mergeCell ref="K1:M1"/>
  </mergeCells>
  <hyperlinks>
    <hyperlink ref="O1" location="'Índice'!A1" display="← Volver al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7"/>
    <col collapsed="false" customWidth="true" hidden="false" outlineLevel="0" max="12" min="11" style="0" width="13"/>
    <col collapsed="false" customWidth="true" hidden="false" outlineLevel="0" max="13" min="13" style="0" width="12"/>
    <col collapsed="false" customWidth="true" hidden="false" outlineLevel="0" max="14" min="14" style="0" width="8.71"/>
    <col collapsed="false" customWidth="true" hidden="false" outlineLevel="0" max="15" min="15" style="0" width="20"/>
    <col collapsed="false" customWidth="true" hidden="false" outlineLevel="0" max="20" min="16" style="0" width="8.71"/>
  </cols>
  <sheetData>
    <row r="1" customFormat="false" ht="15" hidden="false" customHeight="false" outlineLevel="0" collapsed="false">
      <c r="A1" s="56"/>
      <c r="B1" s="101"/>
      <c r="C1" s="56" t="s">
        <v>36</v>
      </c>
      <c r="D1" s="56"/>
      <c r="E1" s="56"/>
      <c r="F1" s="56"/>
      <c r="G1" s="56" t="s">
        <v>37</v>
      </c>
      <c r="H1" s="56"/>
      <c r="I1" s="56"/>
      <c r="J1" s="56"/>
      <c r="K1" s="57" t="s">
        <v>38</v>
      </c>
      <c r="L1" s="57"/>
      <c r="M1" s="57"/>
      <c r="O1" s="15" t="s">
        <v>39</v>
      </c>
    </row>
    <row r="2" customFormat="false" ht="15" hidden="false" customHeight="false" outlineLevel="0" collapsed="false">
      <c r="A2" s="16" t="s">
        <v>40</v>
      </c>
      <c r="B2" s="17" t="s">
        <v>41</v>
      </c>
      <c r="C2" s="16" t="s">
        <v>42</v>
      </c>
      <c r="D2" s="17" t="s">
        <v>43</v>
      </c>
      <c r="E2" s="17" t="s">
        <v>44</v>
      </c>
      <c r="F2" s="17" t="s">
        <v>45</v>
      </c>
      <c r="G2" s="16" t="s">
        <v>46</v>
      </c>
      <c r="H2" s="17" t="s">
        <v>47</v>
      </c>
      <c r="I2" s="17" t="s">
        <v>48</v>
      </c>
      <c r="J2" s="17" t="s">
        <v>49</v>
      </c>
      <c r="K2" s="59" t="s">
        <v>50</v>
      </c>
      <c r="L2" s="60" t="s">
        <v>51</v>
      </c>
      <c r="M2" s="60" t="s">
        <v>52</v>
      </c>
    </row>
    <row r="3" customFormat="false" ht="15" hidden="false" customHeight="false" outlineLevel="0" collapsed="false">
      <c r="A3" s="23" t="s">
        <v>53</v>
      </c>
      <c r="B3" s="24" t="s">
        <v>107</v>
      </c>
      <c r="C3" s="42" t="n">
        <v>8731.64201782705</v>
      </c>
      <c r="D3" s="43" t="n">
        <v>7275.30969559767</v>
      </c>
      <c r="E3" s="43" t="n">
        <v>9285.67134598738</v>
      </c>
      <c r="F3" s="70" t="n">
        <v>0.216501486589706</v>
      </c>
      <c r="G3" s="42" t="n">
        <v>8000</v>
      </c>
      <c r="H3" s="43" t="n">
        <v>6880</v>
      </c>
      <c r="I3" s="43" t="n">
        <v>8600</v>
      </c>
      <c r="J3" s="70" t="n">
        <v>0.2</v>
      </c>
      <c r="K3" s="71" t="n">
        <v>322.615345009344</v>
      </c>
      <c r="L3" s="72" t="n">
        <v>322.66432071678</v>
      </c>
      <c r="M3" s="73" t="b">
        <f aca="false">TRUE()</f>
        <v>1</v>
      </c>
    </row>
    <row r="4" customFormat="false" ht="15" hidden="false" customHeight="false" outlineLevel="0" collapsed="false">
      <c r="A4" s="23" t="s">
        <v>53</v>
      </c>
      <c r="B4" s="24" t="s">
        <v>108</v>
      </c>
      <c r="C4" s="42" t="n">
        <v>10099.746971169</v>
      </c>
      <c r="D4" s="43" t="n">
        <v>8730.40486188322</v>
      </c>
      <c r="E4" s="43" t="n">
        <v>10769.5244863843</v>
      </c>
      <c r="F4" s="70" t="n">
        <v>0.189341658220763</v>
      </c>
      <c r="G4" s="42" t="n">
        <v>8600</v>
      </c>
      <c r="H4" s="43" t="n">
        <v>8000</v>
      </c>
      <c r="I4" s="43" t="n">
        <v>9890</v>
      </c>
      <c r="J4" s="70" t="n">
        <v>0.191102123356926</v>
      </c>
      <c r="K4" s="71" t="n">
        <v>322.651467991911</v>
      </c>
      <c r="L4" s="72" t="n">
        <v>322.673399515127</v>
      </c>
      <c r="M4" s="73" t="b">
        <f aca="false">TRUE()</f>
        <v>1</v>
      </c>
    </row>
    <row r="5" customFormat="false" ht="15" hidden="false" customHeight="false" outlineLevel="0" collapsed="false">
      <c r="A5" s="23" t="s">
        <v>53</v>
      </c>
      <c r="B5" s="24" t="s">
        <v>109</v>
      </c>
      <c r="C5" s="42" t="n">
        <v>11014.0306695059</v>
      </c>
      <c r="D5" s="43" t="n">
        <v>9542.75679953185</v>
      </c>
      <c r="E5" s="43" t="n">
        <v>11821.4432793174</v>
      </c>
      <c r="F5" s="70" t="n">
        <v>0.192758737316983</v>
      </c>
      <c r="G5" s="42" t="n">
        <v>9460</v>
      </c>
      <c r="H5" s="43" t="n">
        <v>8600</v>
      </c>
      <c r="I5" s="43" t="n">
        <v>10320</v>
      </c>
      <c r="J5" s="70" t="n">
        <v>0.166666666666667</v>
      </c>
      <c r="K5" s="71" t="n">
        <v>322.648178051679</v>
      </c>
      <c r="L5" s="72" t="n">
        <v>322.669032461786</v>
      </c>
      <c r="M5" s="73" t="b">
        <f aca="false">TRUE()</f>
        <v>1</v>
      </c>
    </row>
    <row r="6" customFormat="false" ht="15" hidden="false" customHeight="false" outlineLevel="0" collapsed="false">
      <c r="A6" s="23" t="s">
        <v>53</v>
      </c>
      <c r="B6" s="24" t="s">
        <v>110</v>
      </c>
      <c r="C6" s="42" t="n">
        <v>12184.4898316874</v>
      </c>
      <c r="D6" s="43" t="n">
        <v>10917.7580810493</v>
      </c>
      <c r="E6" s="43" t="n">
        <v>13644.9446404399</v>
      </c>
      <c r="F6" s="70" t="n">
        <v>0.199867909416648</v>
      </c>
      <c r="G6" s="42" t="n">
        <v>10750</v>
      </c>
      <c r="H6" s="43" t="n">
        <v>9460</v>
      </c>
      <c r="I6" s="43" t="n">
        <v>12000</v>
      </c>
      <c r="J6" s="70" t="n">
        <v>0.211666666666667</v>
      </c>
      <c r="K6" s="71" t="n">
        <v>322.378952386793</v>
      </c>
      <c r="L6" s="72" t="n">
        <v>322.330764904516</v>
      </c>
      <c r="M6" s="73" t="b">
        <f aca="false">TRUE()</f>
        <v>1</v>
      </c>
    </row>
    <row r="7" customFormat="false" ht="15" hidden="false" customHeight="false" outlineLevel="0" collapsed="false">
      <c r="A7" s="23" t="s">
        <v>53</v>
      </c>
      <c r="B7" s="24" t="s">
        <v>111</v>
      </c>
      <c r="C7" s="42" t="n">
        <v>16143.7237793449</v>
      </c>
      <c r="D7" s="43" t="n">
        <v>14537.0199123998</v>
      </c>
      <c r="E7" s="43" t="n">
        <v>17434.0470738756</v>
      </c>
      <c r="F7" s="70" t="n">
        <v>0.16617066302505</v>
      </c>
      <c r="G7" s="42" t="n">
        <v>12900</v>
      </c>
      <c r="H7" s="43" t="n">
        <v>12000</v>
      </c>
      <c r="I7" s="43" t="n">
        <v>14000</v>
      </c>
      <c r="J7" s="70" t="n">
        <v>0.142857142857143</v>
      </c>
      <c r="K7" s="71" t="n">
        <v>322.644094194949</v>
      </c>
      <c r="L7" s="72" t="n">
        <v>322.653998812145</v>
      </c>
      <c r="M7" s="73" t="b">
        <f aca="false">TRUE()</f>
        <v>1</v>
      </c>
    </row>
    <row r="8" customFormat="false" ht="15" hidden="false" customHeight="false" outlineLevel="0" collapsed="false">
      <c r="A8" s="29" t="s">
        <v>53</v>
      </c>
      <c r="B8" s="30" t="s">
        <v>112</v>
      </c>
      <c r="C8" s="48" t="n">
        <v>25763.0530623315</v>
      </c>
      <c r="D8" s="49" t="n">
        <v>21840.5120988471</v>
      </c>
      <c r="E8" s="49" t="n">
        <v>29286.3965499854</v>
      </c>
      <c r="F8" s="62" t="n">
        <v>0.254243789891658</v>
      </c>
      <c r="G8" s="48" t="n">
        <v>20000</v>
      </c>
      <c r="H8" s="49" t="n">
        <v>18000</v>
      </c>
      <c r="I8" s="49" t="n">
        <v>21500</v>
      </c>
      <c r="J8" s="62" t="n">
        <v>0.162790697674419</v>
      </c>
      <c r="K8" s="63" t="n">
        <v>322.082147969687</v>
      </c>
      <c r="L8" s="64" t="n">
        <v>322.144350725193</v>
      </c>
      <c r="M8" s="65" t="b">
        <f aca="false">TRUE()</f>
        <v>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C1:F1"/>
    <mergeCell ref="G1:J1"/>
    <mergeCell ref="K1:M1"/>
  </mergeCells>
  <hyperlinks>
    <hyperlink ref="O1" location="'Índice'!A1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3" min="1" style="0" width="10.71"/>
    <col collapsed="false" customWidth="true" hidden="false" outlineLevel="0" max="4" min="4" style="0" width="12.71"/>
    <col collapsed="false" customWidth="true" hidden="false" outlineLevel="0" max="5" min="5" style="0" width="12.29"/>
    <col collapsed="false" customWidth="true" hidden="false" outlineLevel="0" max="6" min="6" style="0" width="13.29"/>
    <col collapsed="false" customWidth="true" hidden="false" outlineLevel="0" max="7" min="7" style="0" width="12.15"/>
    <col collapsed="false" customWidth="true" hidden="false" outlineLevel="0" max="8" min="8" style="0" width="14.86"/>
    <col collapsed="false" customWidth="true" hidden="false" outlineLevel="0" max="9" min="9" style="0" width="14.29"/>
    <col collapsed="false" customWidth="true" hidden="false" outlineLevel="0" max="10" min="10" style="0" width="15.43"/>
    <col collapsed="false" customWidth="true" hidden="false" outlineLevel="0" max="15" min="11" style="0" width="10.71"/>
  </cols>
  <sheetData>
    <row r="1" customFormat="false" ht="15" hidden="false" customHeight="false" outlineLevel="0" collapsed="false">
      <c r="A1" s="11"/>
      <c r="B1" s="12"/>
      <c r="C1" s="13" t="s">
        <v>36</v>
      </c>
      <c r="D1" s="13"/>
      <c r="E1" s="13"/>
      <c r="F1" s="13"/>
      <c r="G1" s="13" t="s">
        <v>37</v>
      </c>
      <c r="H1" s="13"/>
      <c r="I1" s="13"/>
      <c r="J1" s="13"/>
      <c r="K1" s="14" t="s">
        <v>38</v>
      </c>
      <c r="L1" s="14"/>
      <c r="M1" s="14"/>
      <c r="O1" s="15" t="s">
        <v>39</v>
      </c>
    </row>
    <row r="2" customFormat="false" ht="15" hidden="false" customHeight="false" outlineLevel="0" collapsed="false">
      <c r="A2" s="16" t="s">
        <v>40</v>
      </c>
      <c r="B2" s="17" t="s">
        <v>41</v>
      </c>
      <c r="C2" s="18" t="s">
        <v>42</v>
      </c>
      <c r="D2" s="19" t="s">
        <v>43</v>
      </c>
      <c r="E2" s="19" t="s">
        <v>44</v>
      </c>
      <c r="F2" s="20" t="s">
        <v>45</v>
      </c>
      <c r="G2" s="18" t="s">
        <v>46</v>
      </c>
      <c r="H2" s="19" t="s">
        <v>47</v>
      </c>
      <c r="I2" s="19" t="s">
        <v>48</v>
      </c>
      <c r="J2" s="20" t="s">
        <v>49</v>
      </c>
      <c r="K2" s="21" t="s">
        <v>50</v>
      </c>
      <c r="L2" s="21" t="s">
        <v>51</v>
      </c>
      <c r="M2" s="22" t="s">
        <v>52</v>
      </c>
    </row>
    <row r="3" customFormat="false" ht="15" hidden="false" customHeight="false" outlineLevel="0" collapsed="false">
      <c r="A3" s="23" t="s">
        <v>53</v>
      </c>
      <c r="B3" s="24" t="s">
        <v>113</v>
      </c>
      <c r="C3" s="102" t="n">
        <v>7800.55697672835</v>
      </c>
      <c r="D3" s="103" t="n">
        <v>7161.434539352</v>
      </c>
      <c r="E3" s="103" t="n">
        <v>8047.56702295629</v>
      </c>
      <c r="F3" s="27" t="n">
        <v>0.110111848845313</v>
      </c>
      <c r="G3" s="42" t="n">
        <v>7740</v>
      </c>
      <c r="H3" s="43" t="n">
        <v>6880</v>
      </c>
      <c r="I3" s="43" t="n">
        <v>7740</v>
      </c>
      <c r="J3" s="44" t="n">
        <v>0.111111111111111</v>
      </c>
      <c r="K3" s="24" t="n">
        <v>322.412293277307</v>
      </c>
      <c r="L3" s="24" t="n">
        <v>322.585311998713</v>
      </c>
      <c r="M3" s="53" t="b">
        <f aca="false">TRUE()</f>
        <v>1</v>
      </c>
    </row>
    <row r="4" customFormat="false" ht="15" hidden="false" customHeight="false" outlineLevel="0" collapsed="false">
      <c r="A4" s="23" t="s">
        <v>53</v>
      </c>
      <c r="B4" s="24" t="s">
        <v>114</v>
      </c>
      <c r="C4" s="102" t="n">
        <v>10781.4274378084</v>
      </c>
      <c r="D4" s="103" t="n">
        <v>10010.2007462907</v>
      </c>
      <c r="E4" s="103" t="n">
        <v>11234.9300381752</v>
      </c>
      <c r="F4" s="27" t="n">
        <v>0.109010851667351</v>
      </c>
      <c r="G4" s="42" t="n">
        <v>9030</v>
      </c>
      <c r="H4" s="43" t="n">
        <v>8600</v>
      </c>
      <c r="I4" s="43" t="n">
        <v>9890</v>
      </c>
      <c r="J4" s="44" t="n">
        <v>0.130434782608696</v>
      </c>
      <c r="K4" s="24" t="n">
        <v>322.643406299988</v>
      </c>
      <c r="L4" s="24" t="n">
        <v>322.6644123434</v>
      </c>
      <c r="M4" s="53" t="b">
        <f aca="false">TRUE()</f>
        <v>1</v>
      </c>
    </row>
    <row r="5" customFormat="false" ht="15" hidden="false" customHeight="false" outlineLevel="0" collapsed="false">
      <c r="A5" s="23" t="s">
        <v>53</v>
      </c>
      <c r="B5" s="24" t="s">
        <v>115</v>
      </c>
      <c r="C5" s="102" t="n">
        <v>12559.1819640312</v>
      </c>
      <c r="D5" s="103" t="n">
        <v>11386.9116176707</v>
      </c>
      <c r="E5" s="103" t="n">
        <v>13260.1739182681</v>
      </c>
      <c r="F5" s="27" t="n">
        <v>0.141269813815691</v>
      </c>
      <c r="G5" s="42" t="n">
        <v>10535</v>
      </c>
      <c r="H5" s="43" t="n">
        <v>9030</v>
      </c>
      <c r="I5" s="43" t="n">
        <v>10750</v>
      </c>
      <c r="J5" s="44" t="n">
        <v>0.16</v>
      </c>
      <c r="K5" s="24" t="n">
        <v>322.648759380669</v>
      </c>
      <c r="L5" s="24" t="n">
        <v>322.667106358807</v>
      </c>
      <c r="M5" s="53" t="b">
        <f aca="false">TRUE()</f>
        <v>1</v>
      </c>
    </row>
    <row r="6" customFormat="false" ht="15" hidden="false" customHeight="false" outlineLevel="0" collapsed="false">
      <c r="A6" s="23" t="s">
        <v>53</v>
      </c>
      <c r="B6" s="24" t="s">
        <v>116</v>
      </c>
      <c r="C6" s="102" t="n">
        <v>12270.637678956</v>
      </c>
      <c r="D6" s="103" t="n">
        <v>10967.9640121947</v>
      </c>
      <c r="E6" s="103" t="n">
        <v>13026.8338624162</v>
      </c>
      <c r="F6" s="27" t="n">
        <v>0.158048369386331</v>
      </c>
      <c r="G6" s="42" t="n">
        <v>10320</v>
      </c>
      <c r="H6" s="43" t="n">
        <v>8600</v>
      </c>
      <c r="I6" s="43" t="n">
        <v>10750</v>
      </c>
      <c r="J6" s="44" t="n">
        <v>0.2</v>
      </c>
      <c r="K6" s="24" t="n">
        <v>322.640152241984</v>
      </c>
      <c r="L6" s="24" t="n">
        <v>322.662907200391</v>
      </c>
      <c r="M6" s="53" t="b">
        <f aca="false">TRUE()</f>
        <v>1</v>
      </c>
    </row>
    <row r="7" customFormat="false" ht="15" hidden="false" customHeight="false" outlineLevel="0" collapsed="false">
      <c r="A7" s="23" t="s">
        <v>53</v>
      </c>
      <c r="B7" s="24" t="s">
        <v>117</v>
      </c>
      <c r="C7" s="102" t="n">
        <v>11869.1426219167</v>
      </c>
      <c r="D7" s="103" t="n">
        <v>10496.9668657698</v>
      </c>
      <c r="E7" s="103" t="n">
        <v>12591.7374949732</v>
      </c>
      <c r="F7" s="27" t="n">
        <v>0.166360729012943</v>
      </c>
      <c r="G7" s="42" t="n">
        <v>10000</v>
      </c>
      <c r="H7" s="43" t="n">
        <v>8600</v>
      </c>
      <c r="I7" s="43" t="n">
        <v>10750</v>
      </c>
      <c r="J7" s="44" t="n">
        <v>0.2</v>
      </c>
      <c r="K7" s="24" t="n">
        <v>322.620810308553</v>
      </c>
      <c r="L7" s="24" t="n">
        <v>322.655643102585</v>
      </c>
      <c r="M7" s="53" t="b">
        <f aca="false">TRUE()</f>
        <v>1</v>
      </c>
    </row>
    <row r="8" customFormat="false" ht="15" hidden="false" customHeight="false" outlineLevel="0" collapsed="false">
      <c r="A8" s="29" t="s">
        <v>53</v>
      </c>
      <c r="B8" s="30" t="s">
        <v>118</v>
      </c>
      <c r="C8" s="104" t="n">
        <v>10122.0193879424</v>
      </c>
      <c r="D8" s="105" t="n">
        <v>8763.46519680237</v>
      </c>
      <c r="E8" s="105" t="n">
        <v>10662.7169381234</v>
      </c>
      <c r="F8" s="33" t="n">
        <v>0.17812080657702</v>
      </c>
      <c r="G8" s="48" t="n">
        <v>8600</v>
      </c>
      <c r="H8" s="49" t="n">
        <v>7310</v>
      </c>
      <c r="I8" s="49" t="n">
        <v>8600</v>
      </c>
      <c r="J8" s="50" t="n">
        <v>0.15</v>
      </c>
      <c r="K8" s="30" t="n">
        <v>322.503828887863</v>
      </c>
      <c r="L8" s="30" t="n">
        <v>322.618526707218</v>
      </c>
      <c r="M8" s="55" t="b">
        <f aca="false">TRUE()</f>
        <v>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C1:F1"/>
    <mergeCell ref="G1:J1"/>
    <mergeCell ref="K1:M1"/>
  </mergeCells>
  <hyperlinks>
    <hyperlink ref="O1" location="'Índice'!A1" display="← Volver al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4.433593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7"/>
    <col collapsed="false" customWidth="true" hidden="false" outlineLevel="0" max="12" min="11" style="0" width="13"/>
    <col collapsed="false" customWidth="true" hidden="false" outlineLevel="0" max="13" min="13" style="0" width="12"/>
    <col collapsed="false" customWidth="true" hidden="false" outlineLevel="0" max="14" min="14" style="0" width="8.71"/>
    <col collapsed="false" customWidth="true" hidden="false" outlineLevel="0" max="15" min="15" style="0" width="20"/>
    <col collapsed="false" customWidth="true" hidden="false" outlineLevel="0" max="20" min="16" style="0" width="8.71"/>
  </cols>
  <sheetData>
    <row r="1" customFormat="false" ht="15" hidden="false" customHeight="false" outlineLevel="0" collapsed="false">
      <c r="A1" s="67"/>
      <c r="B1" s="56"/>
      <c r="C1" s="56" t="s">
        <v>36</v>
      </c>
      <c r="D1" s="56"/>
      <c r="E1" s="56"/>
      <c r="F1" s="56"/>
      <c r="G1" s="56" t="s">
        <v>37</v>
      </c>
      <c r="H1" s="56"/>
      <c r="I1" s="56"/>
      <c r="J1" s="56"/>
      <c r="K1" s="106" t="s">
        <v>38</v>
      </c>
      <c r="L1" s="106"/>
      <c r="M1" s="106"/>
      <c r="O1" s="15" t="s">
        <v>39</v>
      </c>
    </row>
    <row r="2" customFormat="false" ht="15" hidden="false" customHeight="false" outlineLevel="0" collapsed="false">
      <c r="A2" s="37" t="s">
        <v>40</v>
      </c>
      <c r="B2" s="16" t="s">
        <v>41</v>
      </c>
      <c r="C2" s="16" t="s">
        <v>42</v>
      </c>
      <c r="D2" s="17" t="s">
        <v>43</v>
      </c>
      <c r="E2" s="17" t="s">
        <v>44</v>
      </c>
      <c r="F2" s="17" t="s">
        <v>45</v>
      </c>
      <c r="G2" s="16" t="s">
        <v>46</v>
      </c>
      <c r="H2" s="17" t="s">
        <v>47</v>
      </c>
      <c r="I2" s="17" t="s">
        <v>48</v>
      </c>
      <c r="J2" s="17" t="s">
        <v>49</v>
      </c>
      <c r="K2" s="59" t="s">
        <v>50</v>
      </c>
      <c r="L2" s="60" t="s">
        <v>51</v>
      </c>
      <c r="M2" s="107" t="s">
        <v>52</v>
      </c>
    </row>
    <row r="3" customFormat="false" ht="15" hidden="false" customHeight="false" outlineLevel="0" collapsed="false">
      <c r="A3" s="41" t="s">
        <v>53</v>
      </c>
      <c r="B3" s="23" t="s">
        <v>119</v>
      </c>
      <c r="C3" s="42" t="n">
        <v>12864.6927122417</v>
      </c>
      <c r="D3" s="43" t="n">
        <v>12097.1918620657</v>
      </c>
      <c r="E3" s="43" t="n">
        <v>13234.96252609</v>
      </c>
      <c r="F3" s="70" t="n">
        <v>0.0859670483978589</v>
      </c>
      <c r="G3" s="42" t="n">
        <v>10320</v>
      </c>
      <c r="H3" s="43" t="n">
        <v>9400</v>
      </c>
      <c r="I3" s="43" t="n">
        <v>10750</v>
      </c>
      <c r="J3" s="70" t="n">
        <v>0.125581395348837</v>
      </c>
      <c r="K3" s="71" t="n">
        <v>322.620947721204</v>
      </c>
      <c r="L3" s="72" t="n">
        <v>322.658959822916</v>
      </c>
      <c r="M3" s="85" t="b">
        <f aca="false">TRUE()</f>
        <v>1</v>
      </c>
    </row>
    <row r="4" customFormat="false" ht="15" hidden="false" customHeight="false" outlineLevel="0" collapsed="false">
      <c r="A4" s="47" t="s">
        <v>53</v>
      </c>
      <c r="B4" s="29" t="s">
        <v>120</v>
      </c>
      <c r="C4" s="48" t="n">
        <v>12070.9288784739</v>
      </c>
      <c r="D4" s="49" t="n">
        <v>10629.5675290008</v>
      </c>
      <c r="E4" s="49" t="n">
        <v>12842.0477007152</v>
      </c>
      <c r="F4" s="62" t="n">
        <v>0.172284064292268</v>
      </c>
      <c r="G4" s="48" t="n">
        <v>10320</v>
      </c>
      <c r="H4" s="49" t="n">
        <v>8600</v>
      </c>
      <c r="I4" s="49" t="n">
        <v>10750</v>
      </c>
      <c r="J4" s="62" t="n">
        <v>0.2</v>
      </c>
      <c r="K4" s="63" t="n">
        <v>322.669062874774</v>
      </c>
      <c r="L4" s="64" t="n">
        <v>322.680844310063</v>
      </c>
      <c r="M4" s="100" t="b">
        <f aca="false">TRUE()</f>
        <v>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C1:F1"/>
    <mergeCell ref="G1:J1"/>
    <mergeCell ref="K1:M1"/>
  </mergeCells>
  <hyperlinks>
    <hyperlink ref="O1" location="'Índice'!A1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3" activeCellId="0" sqref="D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7.29"/>
    <col collapsed="false" customWidth="true" hidden="false" outlineLevel="0" max="3" min="3" style="0" width="22.43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8" min="7" style="0" width="16"/>
    <col collapsed="false" customWidth="true" hidden="false" outlineLevel="0" max="9" min="9" style="0" width="17"/>
    <col collapsed="false" customWidth="true" hidden="false" outlineLevel="0" max="11" min="10" style="0" width="13"/>
    <col collapsed="false" customWidth="true" hidden="false" outlineLevel="0" max="18" min="12" style="0" width="12"/>
    <col collapsed="false" customWidth="true" hidden="false" outlineLevel="0" max="19" min="19" style="0" width="8.71"/>
    <col collapsed="false" customWidth="true" hidden="false" outlineLevel="0" max="20" min="20" style="0" width="20"/>
    <col collapsed="false" customWidth="true" hidden="false" outlineLevel="0" max="26" min="21" style="0" width="8.71"/>
  </cols>
  <sheetData>
    <row r="1" customFormat="false" ht="15" hidden="false" customHeight="false" outlineLevel="0" collapsed="false">
      <c r="A1" s="56"/>
      <c r="B1" s="101" t="s">
        <v>13</v>
      </c>
      <c r="C1" s="101" t="s">
        <v>121</v>
      </c>
      <c r="D1" s="56" t="s">
        <v>36</v>
      </c>
      <c r="E1" s="56"/>
      <c r="F1" s="56"/>
      <c r="G1" s="56" t="s">
        <v>37</v>
      </c>
      <c r="H1" s="56"/>
      <c r="I1" s="56"/>
      <c r="J1" s="57" t="s">
        <v>38</v>
      </c>
      <c r="K1" s="57"/>
      <c r="L1" s="57"/>
      <c r="M1" s="106" t="s">
        <v>122</v>
      </c>
      <c r="N1" s="106"/>
      <c r="O1" s="106"/>
      <c r="P1" s="106"/>
      <c r="Q1" s="106"/>
      <c r="R1" s="106"/>
      <c r="T1" s="15" t="s">
        <v>39</v>
      </c>
    </row>
    <row r="2" customFormat="false" ht="15" hidden="false" customHeight="false" outlineLevel="0" collapsed="false">
      <c r="A2" s="16" t="s">
        <v>40</v>
      </c>
      <c r="B2" s="17" t="s">
        <v>123</v>
      </c>
      <c r="C2" s="17" t="s">
        <v>124</v>
      </c>
      <c r="D2" s="16" t="s">
        <v>43</v>
      </c>
      <c r="E2" s="17" t="s">
        <v>44</v>
      </c>
      <c r="F2" s="17" t="s">
        <v>45</v>
      </c>
      <c r="G2" s="16" t="s">
        <v>47</v>
      </c>
      <c r="H2" s="17" t="s">
        <v>48</v>
      </c>
      <c r="I2" s="17" t="s">
        <v>49</v>
      </c>
      <c r="J2" s="59" t="s">
        <v>50</v>
      </c>
      <c r="K2" s="60" t="s">
        <v>51</v>
      </c>
      <c r="L2" s="60" t="s">
        <v>52</v>
      </c>
      <c r="M2" s="59" t="s">
        <v>125</v>
      </c>
      <c r="N2" s="60" t="s">
        <v>126</v>
      </c>
      <c r="O2" s="60" t="s">
        <v>127</v>
      </c>
      <c r="P2" s="60" t="s">
        <v>128</v>
      </c>
      <c r="Q2" s="60" t="s">
        <v>129</v>
      </c>
      <c r="R2" s="107" t="s">
        <v>130</v>
      </c>
    </row>
    <row r="3" customFormat="false" ht="15" hidden="false" customHeight="false" outlineLevel="0" collapsed="false">
      <c r="A3" s="23" t="s">
        <v>53</v>
      </c>
      <c r="B3" s="24" t="s">
        <v>54</v>
      </c>
      <c r="C3" s="24" t="s">
        <v>96</v>
      </c>
      <c r="D3" s="42" t="n">
        <v>12696.2455547363</v>
      </c>
      <c r="E3" s="43" t="n">
        <v>14657.1742197431</v>
      </c>
      <c r="F3" s="70" t="n">
        <v>0.133786269823102</v>
      </c>
      <c r="G3" s="42" t="n">
        <v>10750</v>
      </c>
      <c r="H3" s="43" t="n">
        <v>12040</v>
      </c>
      <c r="I3" s="70" t="n">
        <v>0.107142857142857</v>
      </c>
      <c r="J3" s="71" t="n">
        <v>322.672222160629</v>
      </c>
      <c r="K3" s="72" t="n">
        <v>322.680391349979</v>
      </c>
      <c r="L3" s="73" t="b">
        <f aca="false">TRUE()</f>
        <v>1</v>
      </c>
      <c r="M3" s="108" t="n">
        <v>46199</v>
      </c>
      <c r="N3" s="109" t="n">
        <v>18106</v>
      </c>
      <c r="O3" s="109" t="n">
        <v>28093</v>
      </c>
      <c r="P3" s="109" t="n">
        <v>12090458</v>
      </c>
      <c r="Q3" s="109" t="n">
        <v>4680431</v>
      </c>
      <c r="R3" s="110" t="n">
        <v>7410027</v>
      </c>
    </row>
    <row r="4" customFormat="false" ht="15" hidden="false" customHeight="false" outlineLevel="0" collapsed="false">
      <c r="A4" s="23" t="s">
        <v>53</v>
      </c>
      <c r="B4" s="24" t="s">
        <v>54</v>
      </c>
      <c r="C4" s="24" t="s">
        <v>97</v>
      </c>
      <c r="D4" s="42" t="n">
        <v>7772.54591706438</v>
      </c>
      <c r="E4" s="43" t="n">
        <v>9770.49754980444</v>
      </c>
      <c r="F4" s="70" t="n">
        <v>0.204488217980266</v>
      </c>
      <c r="G4" s="42" t="n">
        <v>6450</v>
      </c>
      <c r="H4" s="43" t="n">
        <v>8600</v>
      </c>
      <c r="I4" s="70" t="n">
        <v>0.25</v>
      </c>
      <c r="J4" s="71" t="n">
        <v>322.667542153001</v>
      </c>
      <c r="K4" s="72" t="n">
        <v>322.681659635688</v>
      </c>
      <c r="L4" s="73" t="b">
        <f aca="false">TRUE()</f>
        <v>1</v>
      </c>
      <c r="M4" s="108" t="n">
        <v>37563</v>
      </c>
      <c r="N4" s="109" t="n">
        <v>12320</v>
      </c>
      <c r="O4" s="109" t="n">
        <v>25243</v>
      </c>
      <c r="P4" s="109" t="n">
        <v>12012522</v>
      </c>
      <c r="Q4" s="109" t="n">
        <v>3864805</v>
      </c>
      <c r="R4" s="110" t="n">
        <v>8147717</v>
      </c>
    </row>
    <row r="5" customFormat="false" ht="15" hidden="false" customHeight="false" outlineLevel="0" collapsed="false">
      <c r="A5" s="111" t="s">
        <v>53</v>
      </c>
      <c r="B5" s="112" t="s">
        <v>55</v>
      </c>
      <c r="C5" s="112" t="s">
        <v>96</v>
      </c>
      <c r="D5" s="113" t="n">
        <v>13698.8539066409</v>
      </c>
      <c r="E5" s="114" t="n">
        <v>14525.7506852656</v>
      </c>
      <c r="F5" s="115" t="n">
        <v>0.0569262681524246</v>
      </c>
      <c r="G5" s="113" t="n">
        <v>12000</v>
      </c>
      <c r="H5" s="114" t="n">
        <v>12040</v>
      </c>
      <c r="I5" s="115" t="n">
        <v>0.00332225913621262</v>
      </c>
      <c r="J5" s="116" t="n">
        <v>322.53164884943</v>
      </c>
      <c r="K5" s="117" t="n">
        <v>322.499755736959</v>
      </c>
      <c r="L5" s="118" t="b">
        <f aca="false">TRUE()</f>
        <v>1</v>
      </c>
      <c r="M5" s="119" t="n">
        <v>4638</v>
      </c>
      <c r="N5" s="120" t="n">
        <v>2573</v>
      </c>
      <c r="O5" s="120" t="n">
        <v>2065</v>
      </c>
      <c r="P5" s="120" t="n">
        <v>1170522</v>
      </c>
      <c r="Q5" s="120" t="n">
        <v>637517</v>
      </c>
      <c r="R5" s="121" t="n">
        <v>533005</v>
      </c>
    </row>
    <row r="6" customFormat="false" ht="15" hidden="false" customHeight="false" outlineLevel="0" collapsed="false">
      <c r="A6" s="29" t="s">
        <v>53</v>
      </c>
      <c r="B6" s="30" t="s">
        <v>55</v>
      </c>
      <c r="C6" s="30" t="s">
        <v>97</v>
      </c>
      <c r="D6" s="48" t="n">
        <v>4453.34459483878</v>
      </c>
      <c r="E6" s="49" t="n">
        <v>6020.84641298494</v>
      </c>
      <c r="F6" s="62" t="n">
        <v>0.260345757162246</v>
      </c>
      <c r="G6" s="48" t="n">
        <v>3440</v>
      </c>
      <c r="H6" s="49" t="n">
        <v>4300</v>
      </c>
      <c r="I6" s="62" t="n">
        <v>0.2</v>
      </c>
      <c r="J6" s="63" t="n">
        <v>322.669881236176</v>
      </c>
      <c r="K6" s="64" t="n">
        <v>322.659959458728</v>
      </c>
      <c r="L6" s="65" t="b">
        <f aca="false">TRUE()</f>
        <v>1</v>
      </c>
      <c r="M6" s="122" t="n">
        <v>23386</v>
      </c>
      <c r="N6" s="123" t="n">
        <v>13949</v>
      </c>
      <c r="O6" s="123" t="n">
        <v>9437</v>
      </c>
      <c r="P6" s="123" t="n">
        <v>7247366</v>
      </c>
      <c r="Q6" s="123" t="n">
        <v>4233537</v>
      </c>
      <c r="R6" s="124" t="n">
        <v>3013829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D1:F1"/>
    <mergeCell ref="G1:I1"/>
    <mergeCell ref="J1:L1"/>
    <mergeCell ref="M1:R1"/>
  </mergeCells>
  <hyperlinks>
    <hyperlink ref="T1" location="'Índice'!A1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3" activeCellId="0" sqref="D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7.29"/>
    <col collapsed="false" customWidth="true" hidden="false" outlineLevel="0" max="3" min="3" style="0" width="13.15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8" min="7" style="0" width="16"/>
    <col collapsed="false" customWidth="true" hidden="false" outlineLevel="0" max="9" min="9" style="0" width="17"/>
    <col collapsed="false" customWidth="true" hidden="false" outlineLevel="0" max="11" min="10" style="0" width="13"/>
    <col collapsed="false" customWidth="true" hidden="false" outlineLevel="0" max="18" min="12" style="0" width="12"/>
    <col collapsed="false" customWidth="true" hidden="false" outlineLevel="0" max="19" min="19" style="0" width="8.71"/>
    <col collapsed="false" customWidth="true" hidden="false" outlineLevel="0" max="20" min="20" style="0" width="20"/>
    <col collapsed="false" customWidth="true" hidden="false" outlineLevel="0" max="26" min="21" style="0" width="8.71"/>
  </cols>
  <sheetData>
    <row r="1" customFormat="false" ht="15" hidden="false" customHeight="false" outlineLevel="0" collapsed="false">
      <c r="A1" s="56"/>
      <c r="B1" s="101" t="s">
        <v>13</v>
      </c>
      <c r="C1" s="101" t="s">
        <v>19</v>
      </c>
      <c r="D1" s="56" t="s">
        <v>36</v>
      </c>
      <c r="E1" s="56"/>
      <c r="F1" s="56"/>
      <c r="G1" s="56" t="s">
        <v>37</v>
      </c>
      <c r="H1" s="56"/>
      <c r="I1" s="56"/>
      <c r="J1" s="57" t="s">
        <v>38</v>
      </c>
      <c r="K1" s="57"/>
      <c r="L1" s="57"/>
      <c r="M1" s="106" t="s">
        <v>122</v>
      </c>
      <c r="N1" s="106"/>
      <c r="O1" s="106"/>
      <c r="P1" s="106"/>
      <c r="Q1" s="106"/>
      <c r="R1" s="106"/>
      <c r="T1" s="15" t="s">
        <v>39</v>
      </c>
    </row>
    <row r="2" customFormat="false" ht="15" hidden="false" customHeight="false" outlineLevel="0" collapsed="false">
      <c r="A2" s="16" t="s">
        <v>40</v>
      </c>
      <c r="B2" s="17" t="s">
        <v>123</v>
      </c>
      <c r="C2" s="17" t="s">
        <v>124</v>
      </c>
      <c r="D2" s="16" t="s">
        <v>43</v>
      </c>
      <c r="E2" s="17" t="s">
        <v>44</v>
      </c>
      <c r="F2" s="17" t="s">
        <v>45</v>
      </c>
      <c r="G2" s="16" t="s">
        <v>47</v>
      </c>
      <c r="H2" s="17" t="s">
        <v>48</v>
      </c>
      <c r="I2" s="17" t="s">
        <v>49</v>
      </c>
      <c r="J2" s="59" t="s">
        <v>50</v>
      </c>
      <c r="K2" s="60" t="s">
        <v>51</v>
      </c>
      <c r="L2" s="60" t="s">
        <v>52</v>
      </c>
      <c r="M2" s="59" t="s">
        <v>125</v>
      </c>
      <c r="N2" s="60" t="s">
        <v>126</v>
      </c>
      <c r="O2" s="60" t="s">
        <v>127</v>
      </c>
      <c r="P2" s="60" t="s">
        <v>128</v>
      </c>
      <c r="Q2" s="60" t="s">
        <v>129</v>
      </c>
      <c r="R2" s="107" t="s">
        <v>130</v>
      </c>
    </row>
    <row r="3" customFormat="false" ht="15" hidden="false" customHeight="false" outlineLevel="0" collapsed="false">
      <c r="A3" s="111" t="s">
        <v>53</v>
      </c>
      <c r="B3" s="112" t="s">
        <v>54</v>
      </c>
      <c r="C3" s="112" t="s">
        <v>113</v>
      </c>
      <c r="D3" s="113" t="n">
        <v>7161.434539352</v>
      </c>
      <c r="E3" s="114" t="n">
        <v>8047.56702295629</v>
      </c>
      <c r="F3" s="115" t="n">
        <v>0.110111848845313</v>
      </c>
      <c r="G3" s="113" t="n">
        <v>6880</v>
      </c>
      <c r="H3" s="114" t="n">
        <v>7740</v>
      </c>
      <c r="I3" s="115" t="n">
        <v>0.111111111111111</v>
      </c>
      <c r="J3" s="116" t="n">
        <v>322.412293277307</v>
      </c>
      <c r="K3" s="117" t="n">
        <v>322.585311998713</v>
      </c>
      <c r="L3" s="118" t="b">
        <f aca="false">TRUE()</f>
        <v>1</v>
      </c>
      <c r="M3" s="119" t="n">
        <v>4206</v>
      </c>
      <c r="N3" s="120" t="n">
        <v>1192</v>
      </c>
      <c r="O3" s="120" t="n">
        <v>3014</v>
      </c>
      <c r="P3" s="120" t="n">
        <v>1318942</v>
      </c>
      <c r="Q3" s="120" t="n">
        <v>367656</v>
      </c>
      <c r="R3" s="121" t="n">
        <v>951286</v>
      </c>
    </row>
    <row r="4" customFormat="false" ht="15" hidden="false" customHeight="false" outlineLevel="0" collapsed="false">
      <c r="A4" s="23" t="s">
        <v>53</v>
      </c>
      <c r="B4" s="24" t="s">
        <v>54</v>
      </c>
      <c r="C4" s="24" t="s">
        <v>114</v>
      </c>
      <c r="D4" s="42" t="n">
        <v>10010.2007462907</v>
      </c>
      <c r="E4" s="43" t="n">
        <v>11234.9300381753</v>
      </c>
      <c r="F4" s="70" t="n">
        <v>0.109010851667354</v>
      </c>
      <c r="G4" s="42" t="n">
        <v>8600</v>
      </c>
      <c r="H4" s="43" t="n">
        <v>9890</v>
      </c>
      <c r="I4" s="70" t="n">
        <v>0.130434782608696</v>
      </c>
      <c r="J4" s="71" t="n">
        <v>322.643406299988</v>
      </c>
      <c r="K4" s="72" t="n">
        <v>322.6644123434</v>
      </c>
      <c r="L4" s="73" t="b">
        <f aca="false">TRUE()</f>
        <v>1</v>
      </c>
      <c r="M4" s="108" t="n">
        <v>19328</v>
      </c>
      <c r="N4" s="109" t="n">
        <v>7185</v>
      </c>
      <c r="O4" s="109" t="n">
        <v>12143</v>
      </c>
      <c r="P4" s="109" t="n">
        <v>5496802</v>
      </c>
      <c r="Q4" s="109" t="n">
        <v>2035400</v>
      </c>
      <c r="R4" s="110" t="n">
        <v>3461402</v>
      </c>
    </row>
    <row r="5" customFormat="false" ht="15" hidden="false" customHeight="false" outlineLevel="0" collapsed="false">
      <c r="A5" s="23" t="s">
        <v>53</v>
      </c>
      <c r="B5" s="24" t="s">
        <v>54</v>
      </c>
      <c r="C5" s="24" t="s">
        <v>115</v>
      </c>
      <c r="D5" s="42" t="n">
        <v>11386.9116176707</v>
      </c>
      <c r="E5" s="43" t="n">
        <v>13260.1739182681</v>
      </c>
      <c r="F5" s="70" t="n">
        <v>0.14126981381569</v>
      </c>
      <c r="G5" s="42" t="n">
        <v>9030</v>
      </c>
      <c r="H5" s="43" t="n">
        <v>10750</v>
      </c>
      <c r="I5" s="70" t="n">
        <v>0.16</v>
      </c>
      <c r="J5" s="71" t="n">
        <v>322.648759380669</v>
      </c>
      <c r="K5" s="72" t="n">
        <v>322.667106358807</v>
      </c>
      <c r="L5" s="73" t="b">
        <f aca="false">TRUE()</f>
        <v>1</v>
      </c>
      <c r="M5" s="108" t="n">
        <v>21257</v>
      </c>
      <c r="N5" s="109" t="n">
        <v>8038</v>
      </c>
      <c r="O5" s="109" t="n">
        <v>13219</v>
      </c>
      <c r="P5" s="109" t="n">
        <v>6077256</v>
      </c>
      <c r="Q5" s="109" t="n">
        <v>2274165</v>
      </c>
      <c r="R5" s="110" t="n">
        <v>3803091</v>
      </c>
    </row>
    <row r="6" customFormat="false" ht="15" hidden="false" customHeight="false" outlineLevel="0" collapsed="false">
      <c r="A6" s="23" t="s">
        <v>53</v>
      </c>
      <c r="B6" s="24" t="s">
        <v>54</v>
      </c>
      <c r="C6" s="24" t="s">
        <v>116</v>
      </c>
      <c r="D6" s="42" t="n">
        <v>10967.9640121947</v>
      </c>
      <c r="E6" s="43" t="n">
        <v>13026.8338624162</v>
      </c>
      <c r="F6" s="70" t="n">
        <v>0.158048369386328</v>
      </c>
      <c r="G6" s="42" t="n">
        <v>8600</v>
      </c>
      <c r="H6" s="43" t="n">
        <v>10750</v>
      </c>
      <c r="I6" s="70" t="n">
        <v>0.2</v>
      </c>
      <c r="J6" s="71" t="n">
        <v>322.640152241984</v>
      </c>
      <c r="K6" s="72" t="n">
        <v>322.662907200391</v>
      </c>
      <c r="L6" s="73" t="b">
        <f aca="false">TRUE()</f>
        <v>1</v>
      </c>
      <c r="M6" s="108" t="n">
        <v>18624</v>
      </c>
      <c r="N6" s="109" t="n">
        <v>7097</v>
      </c>
      <c r="O6" s="109" t="n">
        <v>11527</v>
      </c>
      <c r="P6" s="109" t="n">
        <v>5209242</v>
      </c>
      <c r="Q6" s="109" t="n">
        <v>1913287</v>
      </c>
      <c r="R6" s="110" t="n">
        <v>3295955</v>
      </c>
    </row>
    <row r="7" customFormat="false" ht="15" hidden="false" customHeight="false" outlineLevel="0" collapsed="false">
      <c r="A7" s="23" t="s">
        <v>53</v>
      </c>
      <c r="B7" s="24" t="s">
        <v>54</v>
      </c>
      <c r="C7" s="24" t="s">
        <v>117</v>
      </c>
      <c r="D7" s="42" t="n">
        <v>10496.9668657699</v>
      </c>
      <c r="E7" s="43" t="n">
        <v>12591.7374949732</v>
      </c>
      <c r="F7" s="70" t="n">
        <v>0.166360729012943</v>
      </c>
      <c r="G7" s="42" t="n">
        <v>8600</v>
      </c>
      <c r="H7" s="43" t="n">
        <v>10750</v>
      </c>
      <c r="I7" s="70" t="n">
        <v>0.2</v>
      </c>
      <c r="J7" s="71" t="n">
        <v>322.620810308553</v>
      </c>
      <c r="K7" s="72" t="n">
        <v>322.655643102585</v>
      </c>
      <c r="L7" s="73" t="b">
        <f aca="false">TRUE()</f>
        <v>1</v>
      </c>
      <c r="M7" s="108" t="n">
        <v>14190</v>
      </c>
      <c r="N7" s="109" t="n">
        <v>5147</v>
      </c>
      <c r="O7" s="109" t="n">
        <v>9043</v>
      </c>
      <c r="P7" s="109" t="n">
        <v>4088467</v>
      </c>
      <c r="Q7" s="109" t="n">
        <v>1410324</v>
      </c>
      <c r="R7" s="110" t="n">
        <v>2678143</v>
      </c>
    </row>
    <row r="8" customFormat="false" ht="15" hidden="false" customHeight="false" outlineLevel="0" collapsed="false">
      <c r="A8" s="29" t="s">
        <v>53</v>
      </c>
      <c r="B8" s="30" t="s">
        <v>54</v>
      </c>
      <c r="C8" s="30" t="s">
        <v>118</v>
      </c>
      <c r="D8" s="48" t="n">
        <v>8763.46519680238</v>
      </c>
      <c r="E8" s="49" t="n">
        <v>10662.7169381234</v>
      </c>
      <c r="F8" s="62" t="n">
        <v>0.178120806577021</v>
      </c>
      <c r="G8" s="48" t="n">
        <v>7310</v>
      </c>
      <c r="H8" s="49" t="n">
        <v>8600</v>
      </c>
      <c r="I8" s="62" t="n">
        <v>0.15</v>
      </c>
      <c r="J8" s="63" t="n">
        <v>322.503828887863</v>
      </c>
      <c r="K8" s="64" t="n">
        <v>322.618526707218</v>
      </c>
      <c r="L8" s="65" t="b">
        <f aca="false">TRUE()</f>
        <v>1</v>
      </c>
      <c r="M8" s="122" t="n">
        <v>6157</v>
      </c>
      <c r="N8" s="123" t="n">
        <v>1767</v>
      </c>
      <c r="O8" s="123" t="n">
        <v>4390</v>
      </c>
      <c r="P8" s="123" t="n">
        <v>1912271</v>
      </c>
      <c r="Q8" s="123" t="n">
        <v>544404</v>
      </c>
      <c r="R8" s="124" t="n">
        <v>1367867</v>
      </c>
    </row>
    <row r="9" customFormat="false" ht="15" hidden="false" customHeight="false" outlineLevel="0" collapsed="false">
      <c r="A9" s="23" t="s">
        <v>53</v>
      </c>
      <c r="B9" s="24" t="s">
        <v>55</v>
      </c>
      <c r="C9" s="24" t="s">
        <v>113</v>
      </c>
      <c r="D9" s="42" t="n">
        <v>3405.42991509335</v>
      </c>
      <c r="E9" s="43" t="n">
        <v>4143.01740178722</v>
      </c>
      <c r="F9" s="70" t="n">
        <v>0.178031472031879</v>
      </c>
      <c r="G9" s="42" t="n">
        <v>2580</v>
      </c>
      <c r="H9" s="43" t="n">
        <v>3440</v>
      </c>
      <c r="I9" s="70" t="n">
        <v>0.25</v>
      </c>
      <c r="J9" s="71" t="n">
        <v>322.320879843052</v>
      </c>
      <c r="K9" s="72" t="n">
        <v>322.44024074796</v>
      </c>
      <c r="L9" s="73" t="b">
        <f aca="false">TRUE()</f>
        <v>1</v>
      </c>
      <c r="M9" s="108" t="n">
        <v>2218</v>
      </c>
      <c r="N9" s="109" t="n">
        <v>905</v>
      </c>
      <c r="O9" s="109" t="n">
        <v>1313</v>
      </c>
      <c r="P9" s="109" t="n">
        <v>685718</v>
      </c>
      <c r="Q9" s="109" t="n">
        <v>277599</v>
      </c>
      <c r="R9" s="110" t="n">
        <v>408119</v>
      </c>
    </row>
    <row r="10" customFormat="false" ht="15" hidden="false" customHeight="false" outlineLevel="0" collapsed="false">
      <c r="A10" s="23" t="s">
        <v>53</v>
      </c>
      <c r="B10" s="24" t="s">
        <v>55</v>
      </c>
      <c r="C10" s="24" t="s">
        <v>114</v>
      </c>
      <c r="D10" s="42" t="n">
        <v>5720.91560009823</v>
      </c>
      <c r="E10" s="43" t="n">
        <v>6931.93016937881</v>
      </c>
      <c r="F10" s="70" t="n">
        <v>0.174700918747007</v>
      </c>
      <c r="G10" s="42" t="n">
        <v>4300</v>
      </c>
      <c r="H10" s="43" t="n">
        <v>5160</v>
      </c>
      <c r="I10" s="70" t="n">
        <v>0.166666666666667</v>
      </c>
      <c r="J10" s="71" t="n">
        <v>322.56634047535</v>
      </c>
      <c r="K10" s="72" t="n">
        <v>322.516568066123</v>
      </c>
      <c r="L10" s="73" t="b">
        <f aca="false">TRUE()</f>
        <v>1</v>
      </c>
      <c r="M10" s="108" t="n">
        <v>4800</v>
      </c>
      <c r="N10" s="109" t="n">
        <v>2810</v>
      </c>
      <c r="O10" s="109" t="n">
        <v>1990</v>
      </c>
      <c r="P10" s="109" t="n">
        <v>1393735</v>
      </c>
      <c r="Q10" s="109" t="n">
        <v>810309</v>
      </c>
      <c r="R10" s="110" t="n">
        <v>583426</v>
      </c>
    </row>
    <row r="11" customFormat="false" ht="15" hidden="false" customHeight="false" outlineLevel="0" collapsed="false">
      <c r="A11" s="23" t="s">
        <v>53</v>
      </c>
      <c r="B11" s="24" t="s">
        <v>55</v>
      </c>
      <c r="C11" s="24" t="s">
        <v>115</v>
      </c>
      <c r="D11" s="42" t="n">
        <v>6554.85726101464</v>
      </c>
      <c r="E11" s="43" t="n">
        <v>9336.23167740515</v>
      </c>
      <c r="F11" s="70" t="n">
        <v>0.297911889132077</v>
      </c>
      <c r="G11" s="42" t="n">
        <v>4494</v>
      </c>
      <c r="H11" s="43" t="n">
        <v>6450</v>
      </c>
      <c r="I11" s="70" t="n">
        <v>0.303255813953488</v>
      </c>
      <c r="J11" s="71" t="n">
        <v>322.596303352602</v>
      </c>
      <c r="K11" s="72" t="n">
        <v>322.514556584673</v>
      </c>
      <c r="L11" s="73" t="b">
        <f aca="false">TRUE()</f>
        <v>1</v>
      </c>
      <c r="M11" s="108" t="n">
        <v>5465</v>
      </c>
      <c r="N11" s="109" t="n">
        <v>3606</v>
      </c>
      <c r="O11" s="109" t="n">
        <v>1859</v>
      </c>
      <c r="P11" s="109" t="n">
        <v>1634807</v>
      </c>
      <c r="Q11" s="109" t="n">
        <v>1057910</v>
      </c>
      <c r="R11" s="110" t="n">
        <v>576897</v>
      </c>
    </row>
    <row r="12" customFormat="false" ht="15" hidden="false" customHeight="false" outlineLevel="0" collapsed="false">
      <c r="A12" s="23" t="s">
        <v>53</v>
      </c>
      <c r="B12" s="24" t="s">
        <v>55</v>
      </c>
      <c r="C12" s="24" t="s">
        <v>116</v>
      </c>
      <c r="D12" s="42" t="n">
        <v>6123.49989314099</v>
      </c>
      <c r="E12" s="43" t="n">
        <v>8760.46116315218</v>
      </c>
      <c r="F12" s="70" t="n">
        <v>0.301007129750502</v>
      </c>
      <c r="G12" s="42" t="n">
        <v>4300</v>
      </c>
      <c r="H12" s="43" t="n">
        <v>6450</v>
      </c>
      <c r="I12" s="70" t="n">
        <v>0.333333333333333</v>
      </c>
      <c r="J12" s="71" t="n">
        <v>322.594942550023</v>
      </c>
      <c r="K12" s="72" t="n">
        <v>322.523380456943</v>
      </c>
      <c r="L12" s="73" t="b">
        <f aca="false">TRUE()</f>
        <v>1</v>
      </c>
      <c r="M12" s="108" t="n">
        <v>5520</v>
      </c>
      <c r="N12" s="109" t="n">
        <v>3563</v>
      </c>
      <c r="O12" s="109" t="n">
        <v>1957</v>
      </c>
      <c r="P12" s="109" t="n">
        <v>1650110</v>
      </c>
      <c r="Q12" s="109" t="n">
        <v>1043431</v>
      </c>
      <c r="R12" s="110" t="n">
        <v>606679</v>
      </c>
    </row>
    <row r="13" customFormat="false" ht="15" hidden="false" customHeight="false" outlineLevel="0" collapsed="false">
      <c r="A13" s="23" t="s">
        <v>53</v>
      </c>
      <c r="B13" s="24" t="s">
        <v>55</v>
      </c>
      <c r="C13" s="24" t="s">
        <v>117</v>
      </c>
      <c r="D13" s="42" t="n">
        <v>5695.04065905846</v>
      </c>
      <c r="E13" s="43" t="n">
        <v>7732.60583479399</v>
      </c>
      <c r="F13" s="70" t="n">
        <v>0.263503044027824</v>
      </c>
      <c r="G13" s="42" t="n">
        <v>3870</v>
      </c>
      <c r="H13" s="43" t="n">
        <v>6000</v>
      </c>
      <c r="I13" s="70" t="n">
        <v>0.355</v>
      </c>
      <c r="J13" s="71" t="n">
        <v>322.584732665767</v>
      </c>
      <c r="K13" s="72" t="n">
        <v>322.525070679642</v>
      </c>
      <c r="L13" s="73" t="b">
        <f aca="false">TRUE()</f>
        <v>1</v>
      </c>
      <c r="M13" s="108" t="n">
        <v>5250</v>
      </c>
      <c r="N13" s="109" t="n">
        <v>3248</v>
      </c>
      <c r="O13" s="109" t="n">
        <v>2002</v>
      </c>
      <c r="P13" s="109" t="n">
        <v>1558997</v>
      </c>
      <c r="Q13" s="109" t="n">
        <v>946259</v>
      </c>
      <c r="R13" s="110" t="n">
        <v>612738</v>
      </c>
    </row>
    <row r="14" customFormat="false" ht="15" hidden="false" customHeight="false" outlineLevel="0" collapsed="false">
      <c r="A14" s="29" t="s">
        <v>53</v>
      </c>
      <c r="B14" s="30" t="s">
        <v>55</v>
      </c>
      <c r="C14" s="30" t="s">
        <v>118</v>
      </c>
      <c r="D14" s="48" t="n">
        <v>4476.56011044856</v>
      </c>
      <c r="E14" s="49" t="n">
        <v>6211.13153924701</v>
      </c>
      <c r="F14" s="62" t="n">
        <v>0.279268184522901</v>
      </c>
      <c r="G14" s="48" t="n">
        <v>2580</v>
      </c>
      <c r="H14" s="49" t="n">
        <v>4300</v>
      </c>
      <c r="I14" s="62" t="n">
        <v>0.4</v>
      </c>
      <c r="J14" s="63" t="n">
        <v>322.553329829124</v>
      </c>
      <c r="K14" s="64" t="n">
        <v>322.557682716549</v>
      </c>
      <c r="L14" s="65" t="b">
        <f aca="false">TRUE()</f>
        <v>1</v>
      </c>
      <c r="M14" s="122" t="n">
        <v>4771</v>
      </c>
      <c r="N14" s="123" t="n">
        <v>2390</v>
      </c>
      <c r="O14" s="123" t="n">
        <v>2381</v>
      </c>
      <c r="P14" s="123" t="n">
        <v>1494521</v>
      </c>
      <c r="Q14" s="123" t="n">
        <v>735546</v>
      </c>
      <c r="R14" s="124" t="n">
        <v>758975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D1:F1"/>
    <mergeCell ref="G1:I1"/>
    <mergeCell ref="J1:L1"/>
    <mergeCell ref="M1:R1"/>
  </mergeCells>
  <hyperlinks>
    <hyperlink ref="T1" location="'Índice'!A1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3" activeCellId="0" sqref="D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28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8" min="7" style="0" width="16"/>
    <col collapsed="false" customWidth="true" hidden="false" outlineLevel="0" max="9" min="9" style="0" width="17"/>
    <col collapsed="false" customWidth="true" hidden="false" outlineLevel="0" max="11" min="10" style="0" width="13"/>
    <col collapsed="false" customWidth="true" hidden="false" outlineLevel="0" max="18" min="12" style="0" width="12"/>
    <col collapsed="false" customWidth="true" hidden="false" outlineLevel="0" max="19" min="19" style="0" width="8.71"/>
    <col collapsed="false" customWidth="true" hidden="false" outlineLevel="0" max="20" min="20" style="0" width="20"/>
    <col collapsed="false" customWidth="true" hidden="false" outlineLevel="0" max="26" min="21" style="0" width="8.71"/>
  </cols>
  <sheetData>
    <row r="1" customFormat="false" ht="15" hidden="false" customHeight="false" outlineLevel="0" collapsed="false">
      <c r="A1" s="67"/>
      <c r="B1" s="67" t="s">
        <v>13</v>
      </c>
      <c r="C1" s="67" t="s">
        <v>17</v>
      </c>
      <c r="D1" s="68" t="s">
        <v>36</v>
      </c>
      <c r="E1" s="68"/>
      <c r="F1" s="68"/>
      <c r="G1" s="68" t="s">
        <v>37</v>
      </c>
      <c r="H1" s="68"/>
      <c r="I1" s="68"/>
      <c r="J1" s="69" t="s">
        <v>38</v>
      </c>
      <c r="K1" s="69"/>
      <c r="L1" s="69"/>
      <c r="M1" s="69" t="s">
        <v>122</v>
      </c>
      <c r="N1" s="69"/>
      <c r="O1" s="69"/>
      <c r="P1" s="69"/>
      <c r="Q1" s="69"/>
      <c r="R1" s="69"/>
      <c r="T1" s="15" t="s">
        <v>39</v>
      </c>
    </row>
    <row r="2" customFormat="false" ht="15" hidden="false" customHeight="false" outlineLevel="0" collapsed="false">
      <c r="A2" s="18" t="s">
        <v>40</v>
      </c>
      <c r="B2" s="19" t="s">
        <v>123</v>
      </c>
      <c r="C2" s="19" t="s">
        <v>124</v>
      </c>
      <c r="D2" s="18" t="s">
        <v>43</v>
      </c>
      <c r="E2" s="19" t="s">
        <v>44</v>
      </c>
      <c r="F2" s="19" t="s">
        <v>45</v>
      </c>
      <c r="G2" s="18" t="s">
        <v>47</v>
      </c>
      <c r="H2" s="19" t="s">
        <v>48</v>
      </c>
      <c r="I2" s="19" t="s">
        <v>49</v>
      </c>
      <c r="J2" s="125" t="s">
        <v>50</v>
      </c>
      <c r="K2" s="126" t="s">
        <v>51</v>
      </c>
      <c r="L2" s="126" t="s">
        <v>52</v>
      </c>
      <c r="M2" s="125" t="s">
        <v>125</v>
      </c>
      <c r="N2" s="126" t="s">
        <v>126</v>
      </c>
      <c r="O2" s="126" t="s">
        <v>127</v>
      </c>
      <c r="P2" s="126" t="s">
        <v>128</v>
      </c>
      <c r="Q2" s="126" t="s">
        <v>129</v>
      </c>
      <c r="R2" s="127" t="s">
        <v>130</v>
      </c>
    </row>
    <row r="3" customFormat="false" ht="15" hidden="false" customHeight="false" outlineLevel="0" collapsed="false">
      <c r="A3" s="111" t="s">
        <v>53</v>
      </c>
      <c r="B3" s="112" t="s">
        <v>54</v>
      </c>
      <c r="C3" s="112" t="s">
        <v>107</v>
      </c>
      <c r="D3" s="113" t="n">
        <v>7275.30969559766</v>
      </c>
      <c r="E3" s="114" t="n">
        <v>9285.67134598739</v>
      </c>
      <c r="F3" s="115" t="n">
        <v>0.216501486589708</v>
      </c>
      <c r="G3" s="113" t="n">
        <v>6880</v>
      </c>
      <c r="H3" s="114" t="n">
        <v>8600</v>
      </c>
      <c r="I3" s="115" t="n">
        <v>0.2</v>
      </c>
      <c r="J3" s="116" t="n">
        <v>322.615345009344</v>
      </c>
      <c r="K3" s="117" t="n">
        <v>322.66432071678</v>
      </c>
      <c r="L3" s="118" t="b">
        <f aca="false">TRUE()</f>
        <v>1</v>
      </c>
      <c r="M3" s="119" t="n">
        <v>14336</v>
      </c>
      <c r="N3" s="120" t="n">
        <v>4116</v>
      </c>
      <c r="O3" s="120" t="n">
        <v>10220</v>
      </c>
      <c r="P3" s="120" t="n">
        <v>4763659</v>
      </c>
      <c r="Q3" s="120" t="n">
        <v>1312802</v>
      </c>
      <c r="R3" s="121" t="n">
        <v>3450857</v>
      </c>
    </row>
    <row r="4" customFormat="false" ht="15" hidden="false" customHeight="false" outlineLevel="0" collapsed="false">
      <c r="A4" s="23" t="s">
        <v>53</v>
      </c>
      <c r="B4" s="24" t="s">
        <v>54</v>
      </c>
      <c r="C4" s="24" t="s">
        <v>108</v>
      </c>
      <c r="D4" s="42" t="n">
        <v>8730.40486188321</v>
      </c>
      <c r="E4" s="43" t="n">
        <v>10769.5244863843</v>
      </c>
      <c r="F4" s="70" t="n">
        <v>0.189341658220759</v>
      </c>
      <c r="G4" s="42" t="n">
        <v>8000</v>
      </c>
      <c r="H4" s="43" t="n">
        <v>9890</v>
      </c>
      <c r="I4" s="70" t="n">
        <v>0.191102123356926</v>
      </c>
      <c r="J4" s="71" t="n">
        <v>322.651467991911</v>
      </c>
      <c r="K4" s="72" t="n">
        <v>322.673399515127</v>
      </c>
      <c r="L4" s="73" t="b">
        <f aca="false">TRUE()</f>
        <v>1</v>
      </c>
      <c r="M4" s="108" t="n">
        <v>25186</v>
      </c>
      <c r="N4" s="109" t="n">
        <v>8389</v>
      </c>
      <c r="O4" s="109" t="n">
        <v>16797</v>
      </c>
      <c r="P4" s="109" t="n">
        <v>7360513</v>
      </c>
      <c r="Q4" s="109" t="n">
        <v>2417664</v>
      </c>
      <c r="R4" s="110" t="n">
        <v>4942849</v>
      </c>
    </row>
    <row r="5" customFormat="false" ht="15" hidden="false" customHeight="false" outlineLevel="0" collapsed="false">
      <c r="A5" s="23" t="s">
        <v>53</v>
      </c>
      <c r="B5" s="24" t="s">
        <v>54</v>
      </c>
      <c r="C5" s="24" t="s">
        <v>109</v>
      </c>
      <c r="D5" s="42" t="n">
        <v>9542.75679953188</v>
      </c>
      <c r="E5" s="43" t="n">
        <v>11821.4432793174</v>
      </c>
      <c r="F5" s="70" t="n">
        <v>0.192758737316977</v>
      </c>
      <c r="G5" s="42" t="n">
        <v>8600</v>
      </c>
      <c r="H5" s="43" t="n">
        <v>10320</v>
      </c>
      <c r="I5" s="70" t="n">
        <v>0.166666666666667</v>
      </c>
      <c r="J5" s="71" t="n">
        <v>322.648178051679</v>
      </c>
      <c r="K5" s="72" t="n">
        <v>322.669032461786</v>
      </c>
      <c r="L5" s="73" t="b">
        <f aca="false">TRUE()</f>
        <v>1</v>
      </c>
      <c r="M5" s="108" t="n">
        <v>22317</v>
      </c>
      <c r="N5" s="109" t="n">
        <v>7920</v>
      </c>
      <c r="O5" s="109" t="n">
        <v>14397</v>
      </c>
      <c r="P5" s="109" t="n">
        <v>6337435</v>
      </c>
      <c r="Q5" s="109" t="n">
        <v>2245559</v>
      </c>
      <c r="R5" s="110" t="n">
        <v>4091876</v>
      </c>
    </row>
    <row r="6" customFormat="false" ht="15" hidden="false" customHeight="false" outlineLevel="0" collapsed="false">
      <c r="A6" s="23" t="s">
        <v>53</v>
      </c>
      <c r="B6" s="24" t="s">
        <v>54</v>
      </c>
      <c r="C6" s="24" t="s">
        <v>110</v>
      </c>
      <c r="D6" s="42" t="n">
        <v>10917.7580810493</v>
      </c>
      <c r="E6" s="43" t="n">
        <v>13644.9446404399</v>
      </c>
      <c r="F6" s="70" t="n">
        <v>0.199867909416649</v>
      </c>
      <c r="G6" s="42" t="n">
        <v>9460</v>
      </c>
      <c r="H6" s="43" t="n">
        <v>12000</v>
      </c>
      <c r="I6" s="70" t="n">
        <v>0.211666666666667</v>
      </c>
      <c r="J6" s="71" t="n">
        <v>322.378952386793</v>
      </c>
      <c r="K6" s="72" t="n">
        <v>322.330764904516</v>
      </c>
      <c r="L6" s="73" t="b">
        <f aca="false">TRUE()</f>
        <v>1</v>
      </c>
      <c r="M6" s="108" t="n">
        <v>2160</v>
      </c>
      <c r="N6" s="109" t="n">
        <v>1175</v>
      </c>
      <c r="O6" s="109" t="n">
        <v>985</v>
      </c>
      <c r="P6" s="109" t="n">
        <v>613917</v>
      </c>
      <c r="Q6" s="109" t="n">
        <v>328763</v>
      </c>
      <c r="R6" s="110" t="n">
        <v>285154</v>
      </c>
    </row>
    <row r="7" customFormat="false" ht="15" hidden="false" customHeight="false" outlineLevel="0" collapsed="false">
      <c r="A7" s="23" t="s">
        <v>53</v>
      </c>
      <c r="B7" s="24" t="s">
        <v>54</v>
      </c>
      <c r="C7" s="24" t="s">
        <v>111</v>
      </c>
      <c r="D7" s="42" t="n">
        <v>14537.0199123998</v>
      </c>
      <c r="E7" s="43" t="n">
        <v>17434.0470738755</v>
      </c>
      <c r="F7" s="70" t="n">
        <v>0.166170663025045</v>
      </c>
      <c r="G7" s="42" t="n">
        <v>12000</v>
      </c>
      <c r="H7" s="43" t="n">
        <v>14000</v>
      </c>
      <c r="I7" s="70" t="n">
        <v>0.142857142857143</v>
      </c>
      <c r="J7" s="71" t="n">
        <v>322.644094194949</v>
      </c>
      <c r="K7" s="72" t="n">
        <v>322.653998812145</v>
      </c>
      <c r="L7" s="73" t="b">
        <f aca="false">TRUE()</f>
        <v>1</v>
      </c>
      <c r="M7" s="108" t="n">
        <v>18080</v>
      </c>
      <c r="N7" s="109" t="n">
        <v>8036</v>
      </c>
      <c r="O7" s="109" t="n">
        <v>10044</v>
      </c>
      <c r="P7" s="109" t="n">
        <v>4632369</v>
      </c>
      <c r="Q7" s="109" t="n">
        <v>2063237</v>
      </c>
      <c r="R7" s="110" t="n">
        <v>2569132</v>
      </c>
    </row>
    <row r="8" customFormat="false" ht="15" hidden="false" customHeight="false" outlineLevel="0" collapsed="false">
      <c r="A8" s="29" t="s">
        <v>53</v>
      </c>
      <c r="B8" s="30" t="s">
        <v>54</v>
      </c>
      <c r="C8" s="30" t="s">
        <v>112</v>
      </c>
      <c r="D8" s="48" t="n">
        <v>21840.5120988471</v>
      </c>
      <c r="E8" s="49" t="n">
        <v>29286.3965499854</v>
      </c>
      <c r="F8" s="62" t="n">
        <v>0.254243789891658</v>
      </c>
      <c r="G8" s="48" t="n">
        <v>18000</v>
      </c>
      <c r="H8" s="49" t="n">
        <v>21500</v>
      </c>
      <c r="I8" s="62" t="n">
        <v>0.162790697674419</v>
      </c>
      <c r="J8" s="63" t="n">
        <v>322.082147969687</v>
      </c>
      <c r="K8" s="64" t="n">
        <v>322.144350725193</v>
      </c>
      <c r="L8" s="65" t="b">
        <f aca="false">TRUE()</f>
        <v>1</v>
      </c>
      <c r="M8" s="122" t="n">
        <v>1549</v>
      </c>
      <c r="N8" s="123" t="n">
        <v>752</v>
      </c>
      <c r="O8" s="123" t="n">
        <v>797</v>
      </c>
      <c r="P8" s="123" t="n">
        <v>357636</v>
      </c>
      <c r="Q8" s="123" t="n">
        <v>169231</v>
      </c>
      <c r="R8" s="124" t="n">
        <v>188405</v>
      </c>
    </row>
    <row r="9" customFormat="false" ht="15" hidden="false" customHeight="false" outlineLevel="0" collapsed="false">
      <c r="A9" s="23" t="s">
        <v>53</v>
      </c>
      <c r="B9" s="24" t="s">
        <v>55</v>
      </c>
      <c r="C9" s="24" t="s">
        <v>107</v>
      </c>
      <c r="D9" s="42" t="n">
        <v>3674.4555132447</v>
      </c>
      <c r="E9" s="43" t="n">
        <v>4974.63518011014</v>
      </c>
      <c r="F9" s="70" t="n">
        <v>0.261361812432777</v>
      </c>
      <c r="G9" s="42" t="n">
        <v>2580</v>
      </c>
      <c r="H9" s="43" t="n">
        <v>3870</v>
      </c>
      <c r="I9" s="70" t="n">
        <v>0.333333333333333</v>
      </c>
      <c r="J9" s="71" t="n">
        <v>322.614431517921</v>
      </c>
      <c r="K9" s="72" t="n">
        <v>322.604453227856</v>
      </c>
      <c r="L9" s="73" t="b">
        <f aca="false">TRUE()</f>
        <v>1</v>
      </c>
      <c r="M9" s="108" t="n">
        <v>7158</v>
      </c>
      <c r="N9" s="109" t="n">
        <v>3919</v>
      </c>
      <c r="O9" s="109" t="n">
        <v>3239</v>
      </c>
      <c r="P9" s="109" t="n">
        <v>2451596</v>
      </c>
      <c r="Q9" s="109" t="n">
        <v>1297802</v>
      </c>
      <c r="R9" s="110" t="n">
        <v>1153794</v>
      </c>
    </row>
    <row r="10" customFormat="false" ht="15" hidden="false" customHeight="false" outlineLevel="0" collapsed="false">
      <c r="A10" s="23" t="s">
        <v>53</v>
      </c>
      <c r="B10" s="24" t="s">
        <v>55</v>
      </c>
      <c r="C10" s="24" t="s">
        <v>108</v>
      </c>
      <c r="D10" s="42" t="n">
        <v>4388.68140622736</v>
      </c>
      <c r="E10" s="43" t="n">
        <v>6464.74437954415</v>
      </c>
      <c r="F10" s="70" t="n">
        <v>0.321136127189485</v>
      </c>
      <c r="G10" s="42" t="n">
        <v>3440</v>
      </c>
      <c r="H10" s="43" t="n">
        <v>5160</v>
      </c>
      <c r="I10" s="70" t="n">
        <v>0.333333333333333</v>
      </c>
      <c r="J10" s="71" t="n">
        <v>322.624120882821</v>
      </c>
      <c r="K10" s="72" t="n">
        <v>322.588429397882</v>
      </c>
      <c r="L10" s="73" t="b">
        <f aca="false">TRUE()</f>
        <v>1</v>
      </c>
      <c r="M10" s="108" t="n">
        <v>8091</v>
      </c>
      <c r="N10" s="109" t="n">
        <v>4937</v>
      </c>
      <c r="O10" s="109" t="n">
        <v>3154</v>
      </c>
      <c r="P10" s="109" t="n">
        <v>2456054</v>
      </c>
      <c r="Q10" s="109" t="n">
        <v>1476774</v>
      </c>
      <c r="R10" s="110" t="n">
        <v>979280</v>
      </c>
    </row>
    <row r="11" customFormat="false" ht="15" hidden="false" customHeight="false" outlineLevel="0" collapsed="false">
      <c r="A11" s="23" t="s">
        <v>53</v>
      </c>
      <c r="B11" s="24" t="s">
        <v>55</v>
      </c>
      <c r="C11" s="24" t="s">
        <v>109</v>
      </c>
      <c r="D11" s="42" t="n">
        <v>5447.05340915502</v>
      </c>
      <c r="E11" s="43" t="n">
        <v>7280.70742101664</v>
      </c>
      <c r="F11" s="70" t="n">
        <v>0.251851077900556</v>
      </c>
      <c r="G11" s="42" t="n">
        <v>4300</v>
      </c>
      <c r="H11" s="43" t="n">
        <v>5375</v>
      </c>
      <c r="I11" s="70" t="n">
        <v>0.2</v>
      </c>
      <c r="J11" s="71" t="n">
        <v>322.593452643423</v>
      </c>
      <c r="K11" s="72" t="n">
        <v>322.548986804928</v>
      </c>
      <c r="L11" s="73" t="b">
        <f aca="false">TRUE()</f>
        <v>1</v>
      </c>
      <c r="M11" s="108" t="n">
        <v>5949</v>
      </c>
      <c r="N11" s="109" t="n">
        <v>3487</v>
      </c>
      <c r="O11" s="109" t="n">
        <v>2462</v>
      </c>
      <c r="P11" s="109" t="n">
        <v>1741594</v>
      </c>
      <c r="Q11" s="109" t="n">
        <v>1028026</v>
      </c>
      <c r="R11" s="110" t="n">
        <v>713568</v>
      </c>
    </row>
    <row r="12" customFormat="false" ht="15" hidden="false" customHeight="false" outlineLevel="0" collapsed="false">
      <c r="A12" s="23" t="s">
        <v>53</v>
      </c>
      <c r="B12" s="24" t="s">
        <v>55</v>
      </c>
      <c r="C12" s="24" t="s">
        <v>110</v>
      </c>
      <c r="D12" s="42" t="n">
        <v>6428.01827993332</v>
      </c>
      <c r="E12" s="43" t="n">
        <v>10034.6784627093</v>
      </c>
      <c r="F12" s="70" t="n">
        <v>0.359419606336065</v>
      </c>
      <c r="G12" s="42" t="n">
        <v>4300</v>
      </c>
      <c r="H12" s="43" t="n">
        <v>8500</v>
      </c>
      <c r="I12" s="70" t="n">
        <v>0.494117647058824</v>
      </c>
      <c r="J12" s="71" t="n">
        <v>322.10081471372</v>
      </c>
      <c r="K12" s="72" t="n">
        <v>320.986051524493</v>
      </c>
      <c r="L12" s="128" t="b">
        <f aca="false">FALSE()</f>
        <v>0</v>
      </c>
      <c r="M12" s="108" t="n">
        <v>808</v>
      </c>
      <c r="N12" s="109" t="n">
        <v>613</v>
      </c>
      <c r="O12" s="109" t="n">
        <v>195</v>
      </c>
      <c r="P12" s="109" t="n">
        <v>235007</v>
      </c>
      <c r="Q12" s="109" t="n">
        <v>174563</v>
      </c>
      <c r="R12" s="110" t="n">
        <v>60444</v>
      </c>
    </row>
    <row r="13" customFormat="false" ht="15" hidden="false" customHeight="false" outlineLevel="0" collapsed="false">
      <c r="A13" s="23" t="s">
        <v>53</v>
      </c>
      <c r="B13" s="24" t="s">
        <v>55</v>
      </c>
      <c r="C13" s="24" t="s">
        <v>111</v>
      </c>
      <c r="D13" s="42" t="n">
        <v>10093.1369606781</v>
      </c>
      <c r="E13" s="43" t="n">
        <v>11733.8557869085</v>
      </c>
      <c r="F13" s="70" t="n">
        <v>0.139827764720014</v>
      </c>
      <c r="G13" s="42" t="n">
        <v>8000</v>
      </c>
      <c r="H13" s="43" t="n">
        <v>9000</v>
      </c>
      <c r="I13" s="70" t="n">
        <v>0.111111111111111</v>
      </c>
      <c r="J13" s="71" t="n">
        <v>322.564134105992</v>
      </c>
      <c r="K13" s="72" t="n">
        <v>322.51495947343</v>
      </c>
      <c r="L13" s="73" t="b">
        <f aca="false">TRUE()</f>
        <v>1</v>
      </c>
      <c r="M13" s="108" t="n">
        <v>5374</v>
      </c>
      <c r="N13" s="109" t="n">
        <v>3156</v>
      </c>
      <c r="O13" s="109" t="n">
        <v>2218</v>
      </c>
      <c r="P13" s="109" t="n">
        <v>1374772</v>
      </c>
      <c r="Q13" s="109" t="n">
        <v>796579</v>
      </c>
      <c r="R13" s="110" t="n">
        <v>578193</v>
      </c>
    </row>
    <row r="14" customFormat="false" ht="15" hidden="false" customHeight="false" outlineLevel="0" collapsed="false">
      <c r="A14" s="29" t="s">
        <v>53</v>
      </c>
      <c r="B14" s="30" t="s">
        <v>55</v>
      </c>
      <c r="C14" s="30" t="s">
        <v>112</v>
      </c>
      <c r="D14" s="48" t="n">
        <v>16743.8310551391</v>
      </c>
      <c r="E14" s="49" t="n">
        <v>20379.5906671848</v>
      </c>
      <c r="F14" s="62" t="n">
        <v>0.178401994005698</v>
      </c>
      <c r="G14" s="48" t="n">
        <v>15000</v>
      </c>
      <c r="H14" s="49" t="n">
        <v>17200</v>
      </c>
      <c r="I14" s="62" t="n">
        <v>0.127906976744186</v>
      </c>
      <c r="J14" s="63" t="n">
        <v>321.581819523113</v>
      </c>
      <c r="K14" s="64" t="n">
        <v>320.950024767313</v>
      </c>
      <c r="L14" s="129" t="b">
        <f aca="false">FALSE()</f>
        <v>0</v>
      </c>
      <c r="M14" s="122" t="n">
        <v>618</v>
      </c>
      <c r="N14" s="123" t="n">
        <v>395</v>
      </c>
      <c r="O14" s="123" t="n">
        <v>223</v>
      </c>
      <c r="P14" s="123" t="n">
        <v>152172</v>
      </c>
      <c r="Q14" s="123" t="n">
        <v>92983</v>
      </c>
      <c r="R14" s="124" t="n">
        <v>59189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D1:F1"/>
    <mergeCell ref="G1:I1"/>
    <mergeCell ref="J1:L1"/>
    <mergeCell ref="M1:R1"/>
  </mergeCells>
  <hyperlinks>
    <hyperlink ref="T1" location="'Índice'!A1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3" activeCellId="0" sqref="D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7.29"/>
    <col collapsed="false" customWidth="true" hidden="false" outlineLevel="0" max="3" min="3" style="0" width="38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8" min="7" style="0" width="16"/>
    <col collapsed="false" customWidth="true" hidden="false" outlineLevel="0" max="9" min="9" style="0" width="17"/>
    <col collapsed="false" customWidth="true" hidden="false" outlineLevel="0" max="11" min="10" style="0" width="13"/>
    <col collapsed="false" customWidth="true" hidden="false" outlineLevel="0" max="18" min="12" style="0" width="12"/>
    <col collapsed="false" customWidth="true" hidden="false" outlineLevel="0" max="19" min="19" style="0" width="8.71"/>
    <col collapsed="false" customWidth="true" hidden="false" outlineLevel="0" max="20" min="20" style="0" width="20"/>
    <col collapsed="false" customWidth="true" hidden="false" outlineLevel="0" max="26" min="21" style="0" width="8.71"/>
  </cols>
  <sheetData>
    <row r="1" customFormat="false" ht="15" hidden="false" customHeight="false" outlineLevel="0" collapsed="false">
      <c r="A1" s="56"/>
      <c r="B1" s="101" t="s">
        <v>13</v>
      </c>
      <c r="C1" s="101" t="s">
        <v>16</v>
      </c>
      <c r="D1" s="56" t="s">
        <v>36</v>
      </c>
      <c r="E1" s="56"/>
      <c r="F1" s="56"/>
      <c r="G1" s="56" t="s">
        <v>37</v>
      </c>
      <c r="H1" s="56"/>
      <c r="I1" s="56"/>
      <c r="J1" s="57" t="s">
        <v>38</v>
      </c>
      <c r="K1" s="57"/>
      <c r="L1" s="57"/>
      <c r="M1" s="106" t="s">
        <v>122</v>
      </c>
      <c r="N1" s="106"/>
      <c r="O1" s="106"/>
      <c r="P1" s="106"/>
      <c r="Q1" s="106"/>
      <c r="R1" s="106"/>
      <c r="T1" s="15" t="s">
        <v>39</v>
      </c>
    </row>
    <row r="2" customFormat="false" ht="15" hidden="false" customHeight="false" outlineLevel="0" collapsed="false">
      <c r="A2" s="16" t="s">
        <v>40</v>
      </c>
      <c r="B2" s="17" t="s">
        <v>123</v>
      </c>
      <c r="C2" s="17" t="s">
        <v>124</v>
      </c>
      <c r="D2" s="16" t="s">
        <v>43</v>
      </c>
      <c r="E2" s="17" t="s">
        <v>44</v>
      </c>
      <c r="F2" s="17" t="s">
        <v>45</v>
      </c>
      <c r="G2" s="16" t="s">
        <v>47</v>
      </c>
      <c r="H2" s="17" t="s">
        <v>48</v>
      </c>
      <c r="I2" s="17" t="s">
        <v>49</v>
      </c>
      <c r="J2" s="59" t="s">
        <v>50</v>
      </c>
      <c r="K2" s="60" t="s">
        <v>51</v>
      </c>
      <c r="L2" s="60" t="s">
        <v>52</v>
      </c>
      <c r="M2" s="59" t="s">
        <v>125</v>
      </c>
      <c r="N2" s="60" t="s">
        <v>126</v>
      </c>
      <c r="O2" s="60" t="s">
        <v>127</v>
      </c>
      <c r="P2" s="60" t="s">
        <v>128</v>
      </c>
      <c r="Q2" s="60" t="s">
        <v>129</v>
      </c>
      <c r="R2" s="107" t="s">
        <v>130</v>
      </c>
    </row>
    <row r="3" customFormat="false" ht="15" hidden="false" customHeight="false" outlineLevel="0" collapsed="false">
      <c r="A3" s="23" t="s">
        <v>53</v>
      </c>
      <c r="B3" s="24" t="s">
        <v>54</v>
      </c>
      <c r="C3" s="24" t="s">
        <v>98</v>
      </c>
      <c r="D3" s="42" t="n">
        <v>23595.8431834281</v>
      </c>
      <c r="E3" s="43" t="n">
        <v>27256.5589907074</v>
      </c>
      <c r="F3" s="70" t="n">
        <v>0.134305867755624</v>
      </c>
      <c r="G3" s="42" t="n">
        <v>17200</v>
      </c>
      <c r="H3" s="43" t="n">
        <v>20000</v>
      </c>
      <c r="I3" s="70" t="n">
        <v>0.14</v>
      </c>
      <c r="J3" s="71" t="n">
        <v>322.033283439613</v>
      </c>
      <c r="K3" s="72" t="n">
        <v>322.286854769835</v>
      </c>
      <c r="L3" s="73" t="b">
        <f aca="false">TRUE()</f>
        <v>1</v>
      </c>
      <c r="M3" s="108" t="n">
        <v>1507</v>
      </c>
      <c r="N3" s="109" t="n">
        <v>582</v>
      </c>
      <c r="O3" s="109" t="n">
        <v>925</v>
      </c>
      <c r="P3" s="109" t="n">
        <v>411095</v>
      </c>
      <c r="Q3" s="109" t="n">
        <v>156699</v>
      </c>
      <c r="R3" s="110" t="n">
        <v>254396</v>
      </c>
    </row>
    <row r="4" customFormat="false" ht="15" hidden="false" customHeight="false" outlineLevel="0" collapsed="false">
      <c r="A4" s="23" t="s">
        <v>53</v>
      </c>
      <c r="B4" s="24" t="s">
        <v>54</v>
      </c>
      <c r="C4" s="24" t="s">
        <v>99</v>
      </c>
      <c r="D4" s="42" t="n">
        <v>18028.1010119287</v>
      </c>
      <c r="E4" s="43" t="n">
        <v>20568.7743848259</v>
      </c>
      <c r="F4" s="70" t="n">
        <v>0.123520892658123</v>
      </c>
      <c r="G4" s="42" t="n">
        <v>15050</v>
      </c>
      <c r="H4" s="43" t="n">
        <v>17000</v>
      </c>
      <c r="I4" s="70" t="n">
        <v>0.114705882352941</v>
      </c>
      <c r="J4" s="71" t="n">
        <v>322.000219144233</v>
      </c>
      <c r="K4" s="72" t="n">
        <v>322.2315511758</v>
      </c>
      <c r="L4" s="73" t="b">
        <f aca="false">TRUE()</f>
        <v>1</v>
      </c>
      <c r="M4" s="108" t="n">
        <v>1491</v>
      </c>
      <c r="N4" s="109" t="n">
        <v>560</v>
      </c>
      <c r="O4" s="109" t="n">
        <v>931</v>
      </c>
      <c r="P4" s="109" t="n">
        <v>373181</v>
      </c>
      <c r="Q4" s="109" t="n">
        <v>149220</v>
      </c>
      <c r="R4" s="110" t="n">
        <v>223961</v>
      </c>
    </row>
    <row r="5" customFormat="false" ht="15" hidden="false" customHeight="false" outlineLevel="0" collapsed="false">
      <c r="A5" s="23" t="s">
        <v>53</v>
      </c>
      <c r="B5" s="24" t="s">
        <v>54</v>
      </c>
      <c r="C5" s="24" t="s">
        <v>100</v>
      </c>
      <c r="D5" s="42" t="n">
        <v>17816.2724399136</v>
      </c>
      <c r="E5" s="43" t="n">
        <v>22064.3914816701</v>
      </c>
      <c r="F5" s="70" t="n">
        <v>0.192532798617429</v>
      </c>
      <c r="G5" s="42" t="n">
        <v>15200</v>
      </c>
      <c r="H5" s="43" t="n">
        <v>18800</v>
      </c>
      <c r="I5" s="70" t="n">
        <v>0.191489361702128</v>
      </c>
      <c r="J5" s="71" t="n">
        <v>322.539620550937</v>
      </c>
      <c r="K5" s="72" t="n">
        <v>322.554223803536</v>
      </c>
      <c r="L5" s="73" t="b">
        <f aca="false">TRUE()</f>
        <v>1</v>
      </c>
      <c r="M5" s="108" t="n">
        <v>5364</v>
      </c>
      <c r="N5" s="109" t="n">
        <v>2623</v>
      </c>
      <c r="O5" s="109" t="n">
        <v>2741</v>
      </c>
      <c r="P5" s="109" t="n">
        <v>1410607</v>
      </c>
      <c r="Q5" s="109" t="n">
        <v>670368</v>
      </c>
      <c r="R5" s="110" t="n">
        <v>740239</v>
      </c>
    </row>
    <row r="6" customFormat="false" ht="15" hidden="false" customHeight="false" outlineLevel="0" collapsed="false">
      <c r="A6" s="23" t="s">
        <v>53</v>
      </c>
      <c r="B6" s="24" t="s">
        <v>54</v>
      </c>
      <c r="C6" s="24" t="s">
        <v>101</v>
      </c>
      <c r="D6" s="130" t="n">
        <v>13082.4329911077</v>
      </c>
      <c r="E6" s="131" t="n">
        <v>14587.0990454552</v>
      </c>
      <c r="F6" s="132" t="n">
        <v>0.103150465329586</v>
      </c>
      <c r="G6" s="42" t="n">
        <v>12000</v>
      </c>
      <c r="H6" s="43" t="n">
        <v>12900</v>
      </c>
      <c r="I6" s="70" t="n">
        <v>0.0697674418604651</v>
      </c>
      <c r="J6" s="71" t="n">
        <v>322.487614841449</v>
      </c>
      <c r="K6" s="72" t="n">
        <v>322.610376644611</v>
      </c>
      <c r="L6" s="73" t="b">
        <f aca="false">TRUE()</f>
        <v>1</v>
      </c>
      <c r="M6" s="133" t="n">
        <v>6637</v>
      </c>
      <c r="N6" s="134" t="n">
        <v>1902</v>
      </c>
      <c r="O6" s="134" t="n">
        <v>4735</v>
      </c>
      <c r="P6" s="134" t="n">
        <v>1737885</v>
      </c>
      <c r="Q6" s="134" t="n">
        <v>502008</v>
      </c>
      <c r="R6" s="135" t="n">
        <v>1235877</v>
      </c>
    </row>
    <row r="7" customFormat="false" ht="15" hidden="false" customHeight="false" outlineLevel="0" collapsed="false">
      <c r="A7" s="23" t="s">
        <v>53</v>
      </c>
      <c r="B7" s="24" t="s">
        <v>54</v>
      </c>
      <c r="C7" s="24" t="s">
        <v>102</v>
      </c>
      <c r="D7" s="42" t="n">
        <v>12287.2052946108</v>
      </c>
      <c r="E7" s="43" t="n">
        <v>16497.9299763472</v>
      </c>
      <c r="F7" s="70" t="n">
        <v>0.255227455066981</v>
      </c>
      <c r="G7" s="42" t="n">
        <v>10750</v>
      </c>
      <c r="H7" s="43" t="n">
        <v>14000</v>
      </c>
      <c r="I7" s="70" t="n">
        <v>0.232142857142857</v>
      </c>
      <c r="J7" s="71" t="n">
        <v>322.367532859925</v>
      </c>
      <c r="K7" s="72" t="n">
        <v>322.477448204469</v>
      </c>
      <c r="L7" s="73" t="b">
        <f aca="false">TRUE()</f>
        <v>1</v>
      </c>
      <c r="M7" s="108" t="n">
        <v>3012</v>
      </c>
      <c r="N7" s="109" t="n">
        <v>1130</v>
      </c>
      <c r="O7" s="109" t="n">
        <v>1882</v>
      </c>
      <c r="P7" s="109" t="n">
        <v>795433</v>
      </c>
      <c r="Q7" s="109" t="n">
        <v>317266</v>
      </c>
      <c r="R7" s="110" t="n">
        <v>478167</v>
      </c>
    </row>
    <row r="8" customFormat="false" ht="15" hidden="false" customHeight="false" outlineLevel="0" collapsed="false">
      <c r="A8" s="23" t="s">
        <v>53</v>
      </c>
      <c r="B8" s="24" t="s">
        <v>54</v>
      </c>
      <c r="C8" s="24" t="s">
        <v>103</v>
      </c>
      <c r="D8" s="130" t="n">
        <v>10765.1540862608</v>
      </c>
      <c r="E8" s="131" t="n">
        <v>12685.5965477135</v>
      </c>
      <c r="F8" s="132" t="n">
        <v>0.151387635120625</v>
      </c>
      <c r="G8" s="42" t="n">
        <v>9460</v>
      </c>
      <c r="H8" s="43" t="n">
        <v>11180</v>
      </c>
      <c r="I8" s="70" t="n">
        <v>0.153846153846154</v>
      </c>
      <c r="J8" s="136" t="n">
        <v>322.472463442635</v>
      </c>
      <c r="K8" s="72" t="n">
        <v>322.607510469075</v>
      </c>
      <c r="L8" s="73" t="b">
        <f aca="false">TRUE()</f>
        <v>1</v>
      </c>
      <c r="M8" s="133" t="n">
        <v>5771</v>
      </c>
      <c r="N8" s="134" t="n">
        <v>1668</v>
      </c>
      <c r="O8" s="134" t="n">
        <v>4103</v>
      </c>
      <c r="P8" s="134" t="n">
        <v>1661643</v>
      </c>
      <c r="Q8" s="134" t="n">
        <v>467420</v>
      </c>
      <c r="R8" s="135" t="n">
        <v>1194223</v>
      </c>
    </row>
    <row r="9" customFormat="false" ht="15" hidden="false" customHeight="false" outlineLevel="0" collapsed="false">
      <c r="A9" s="23" t="s">
        <v>53</v>
      </c>
      <c r="B9" s="24" t="s">
        <v>54</v>
      </c>
      <c r="C9" s="24" t="s">
        <v>104</v>
      </c>
      <c r="D9" s="130" t="n">
        <v>9927.34695940263</v>
      </c>
      <c r="E9" s="131" t="n">
        <v>12423.4029621464</v>
      </c>
      <c r="F9" s="132" t="n">
        <v>0.200915643672604</v>
      </c>
      <c r="G9" s="42" t="n">
        <v>8600</v>
      </c>
      <c r="H9" s="43" t="n">
        <v>10750</v>
      </c>
      <c r="I9" s="70" t="n">
        <v>0.2</v>
      </c>
      <c r="J9" s="136" t="n">
        <v>322.646299550086</v>
      </c>
      <c r="K9" s="137" t="n">
        <v>322.67416904652</v>
      </c>
      <c r="L9" s="73" t="b">
        <f aca="false">TRUE()</f>
        <v>1</v>
      </c>
      <c r="M9" s="133" t="n">
        <v>26101</v>
      </c>
      <c r="N9" s="134" t="n">
        <v>7775</v>
      </c>
      <c r="O9" s="134" t="n">
        <v>18326</v>
      </c>
      <c r="P9" s="134" t="n">
        <v>7288723</v>
      </c>
      <c r="Q9" s="134" t="n">
        <v>2157849</v>
      </c>
      <c r="R9" s="135" t="n">
        <v>5130874</v>
      </c>
    </row>
    <row r="10" customFormat="false" ht="15" hidden="false" customHeight="false" outlineLevel="0" collapsed="false">
      <c r="A10" s="23" t="s">
        <v>53</v>
      </c>
      <c r="B10" s="24" t="s">
        <v>54</v>
      </c>
      <c r="C10" s="24" t="s">
        <v>105</v>
      </c>
      <c r="D10" s="130" t="n">
        <v>8290.11647972935</v>
      </c>
      <c r="E10" s="131" t="n">
        <v>8806.58875675298</v>
      </c>
      <c r="F10" s="132" t="n">
        <v>0.0586461218173261</v>
      </c>
      <c r="G10" s="130" t="n">
        <v>7740</v>
      </c>
      <c r="H10" s="131" t="n">
        <v>8000</v>
      </c>
      <c r="I10" s="132" t="n">
        <v>0.0325</v>
      </c>
      <c r="J10" s="136" t="n">
        <v>322.66920075652</v>
      </c>
      <c r="K10" s="137" t="n">
        <v>322.67789655915</v>
      </c>
      <c r="L10" s="73" t="b">
        <f aca="false">TRUE()</f>
        <v>1</v>
      </c>
      <c r="M10" s="133" t="n">
        <v>33821</v>
      </c>
      <c r="N10" s="134" t="n">
        <v>14165</v>
      </c>
      <c r="O10" s="134" t="n">
        <v>19656</v>
      </c>
      <c r="P10" s="134" t="n">
        <v>10409026</v>
      </c>
      <c r="Q10" s="134" t="n">
        <v>4119206</v>
      </c>
      <c r="R10" s="135" t="n">
        <v>6289820</v>
      </c>
    </row>
    <row r="11" customFormat="false" ht="15" hidden="false" customHeight="false" outlineLevel="0" collapsed="false">
      <c r="A11" s="111" t="s">
        <v>53</v>
      </c>
      <c r="B11" s="112" t="s">
        <v>55</v>
      </c>
      <c r="C11" s="112" t="s">
        <v>98</v>
      </c>
      <c r="D11" s="113" t="n">
        <v>19487.5868082698</v>
      </c>
      <c r="E11" s="114" t="n">
        <v>21109.4481709665</v>
      </c>
      <c r="F11" s="115" t="n">
        <v>0.0768310639653486</v>
      </c>
      <c r="G11" s="113" t="n">
        <v>16000</v>
      </c>
      <c r="H11" s="114" t="n">
        <v>16000</v>
      </c>
      <c r="I11" s="115" t="n">
        <v>0</v>
      </c>
      <c r="J11" s="116" t="n">
        <v>319.920293771994</v>
      </c>
      <c r="K11" s="117" t="n">
        <v>318.746043541416</v>
      </c>
      <c r="L11" s="138" t="b">
        <f aca="false">FALSE()</f>
        <v>0</v>
      </c>
      <c r="M11" s="119" t="n">
        <v>220</v>
      </c>
      <c r="N11" s="120" t="n">
        <v>118</v>
      </c>
      <c r="O11" s="120" t="n">
        <v>102</v>
      </c>
      <c r="P11" s="120" t="n">
        <v>63069</v>
      </c>
      <c r="Q11" s="120" t="n">
        <v>37099</v>
      </c>
      <c r="R11" s="121" t="n">
        <v>25970</v>
      </c>
    </row>
    <row r="12" customFormat="false" ht="15" hidden="false" customHeight="false" outlineLevel="0" collapsed="false">
      <c r="A12" s="23" t="s">
        <v>53</v>
      </c>
      <c r="B12" s="24" t="s">
        <v>55</v>
      </c>
      <c r="C12" s="24" t="s">
        <v>99</v>
      </c>
      <c r="D12" s="42" t="n">
        <v>15314.133233111</v>
      </c>
      <c r="E12" s="43" t="n">
        <v>16727.6526185311</v>
      </c>
      <c r="F12" s="70" t="n">
        <v>0.084501957187601</v>
      </c>
      <c r="G12" s="42" t="n">
        <v>13000</v>
      </c>
      <c r="H12" s="43" t="n">
        <v>14000</v>
      </c>
      <c r="I12" s="70" t="n">
        <v>0.0714285714285714</v>
      </c>
      <c r="J12" s="71" t="n">
        <v>313.22683276973</v>
      </c>
      <c r="K12" s="72" t="n">
        <v>307.373611419075</v>
      </c>
      <c r="L12" s="128" t="b">
        <f aca="false">FALSE()</f>
        <v>0</v>
      </c>
      <c r="M12" s="108" t="n">
        <v>80</v>
      </c>
      <c r="N12" s="109" t="n">
        <v>42</v>
      </c>
      <c r="O12" s="109" t="n">
        <v>38</v>
      </c>
      <c r="P12" s="109" t="n">
        <v>17097</v>
      </c>
      <c r="Q12" s="109" t="n">
        <v>10643</v>
      </c>
      <c r="R12" s="110" t="n">
        <v>6454</v>
      </c>
    </row>
    <row r="13" customFormat="false" ht="15" hidden="false" customHeight="false" outlineLevel="0" collapsed="false">
      <c r="A13" s="23" t="s">
        <v>53</v>
      </c>
      <c r="B13" s="24" t="s">
        <v>55</v>
      </c>
      <c r="C13" s="24" t="s">
        <v>100</v>
      </c>
      <c r="D13" s="42" t="n">
        <v>14379.9803300086</v>
      </c>
      <c r="E13" s="43" t="n">
        <v>15011.5301904387</v>
      </c>
      <c r="F13" s="70" t="n">
        <v>0.0420709849307892</v>
      </c>
      <c r="G13" s="42" t="n">
        <v>12040</v>
      </c>
      <c r="H13" s="43" t="n">
        <v>12900</v>
      </c>
      <c r="I13" s="70" t="n">
        <v>0.0666666666666667</v>
      </c>
      <c r="J13" s="71" t="n">
        <v>322.438946722073</v>
      </c>
      <c r="K13" s="72" t="n">
        <v>322.362095026605</v>
      </c>
      <c r="L13" s="73" t="b">
        <f aca="false">TRUE()</f>
        <v>1</v>
      </c>
      <c r="M13" s="108" t="n">
        <v>2712</v>
      </c>
      <c r="N13" s="109" t="n">
        <v>1553</v>
      </c>
      <c r="O13" s="109" t="n">
        <v>1159</v>
      </c>
      <c r="P13" s="109" t="n">
        <v>718119</v>
      </c>
      <c r="Q13" s="109" t="n">
        <v>406050</v>
      </c>
      <c r="R13" s="110" t="n">
        <v>312069</v>
      </c>
    </row>
    <row r="14" customFormat="false" ht="15" hidden="false" customHeight="false" outlineLevel="0" collapsed="false">
      <c r="A14" s="23" t="s">
        <v>53</v>
      </c>
      <c r="B14" s="24" t="s">
        <v>55</v>
      </c>
      <c r="C14" s="24" t="s">
        <v>101</v>
      </c>
      <c r="D14" s="42" t="n">
        <v>8094.609935983</v>
      </c>
      <c r="E14" s="43" t="n">
        <v>9519.74868568447</v>
      </c>
      <c r="F14" s="70" t="n">
        <v>0.149703400452635</v>
      </c>
      <c r="G14" s="42" t="n">
        <v>6450</v>
      </c>
      <c r="H14" s="43" t="n">
        <v>8500</v>
      </c>
      <c r="I14" s="70" t="n">
        <v>0.241176470588235</v>
      </c>
      <c r="J14" s="71" t="n">
        <v>322.151933262774</v>
      </c>
      <c r="K14" s="72" t="n">
        <v>322.376120525215</v>
      </c>
      <c r="L14" s="73" t="b">
        <f aca="false">TRUE()</f>
        <v>1</v>
      </c>
      <c r="M14" s="108" t="n">
        <v>1892</v>
      </c>
      <c r="N14" s="109" t="n">
        <v>737</v>
      </c>
      <c r="O14" s="109" t="n">
        <v>1155</v>
      </c>
      <c r="P14" s="109" t="n">
        <v>516878</v>
      </c>
      <c r="Q14" s="109" t="n">
        <v>191043</v>
      </c>
      <c r="R14" s="110" t="n">
        <v>325835</v>
      </c>
    </row>
    <row r="15" customFormat="false" ht="15" hidden="false" customHeight="false" outlineLevel="0" collapsed="false">
      <c r="A15" s="23" t="s">
        <v>53</v>
      </c>
      <c r="B15" s="24" t="s">
        <v>55</v>
      </c>
      <c r="C15" s="24" t="s">
        <v>102</v>
      </c>
      <c r="D15" s="42" t="n">
        <v>8219.12719513048</v>
      </c>
      <c r="E15" s="43" t="n">
        <v>14001.0884252208</v>
      </c>
      <c r="F15" s="70" t="n">
        <v>0.412965124888078</v>
      </c>
      <c r="G15" s="42" t="n">
        <v>6450</v>
      </c>
      <c r="H15" s="43" t="n">
        <v>10320</v>
      </c>
      <c r="I15" s="70" t="n">
        <v>0.375</v>
      </c>
      <c r="J15" s="71" t="n">
        <v>315.591344776939</v>
      </c>
      <c r="K15" s="72" t="n">
        <v>319.563067400863</v>
      </c>
      <c r="L15" s="128" t="b">
        <f aca="false">FALSE()</f>
        <v>0</v>
      </c>
      <c r="M15" s="108" t="n">
        <v>151</v>
      </c>
      <c r="N15" s="109" t="n">
        <v>59</v>
      </c>
      <c r="O15" s="109" t="n">
        <v>92</v>
      </c>
      <c r="P15" s="109" t="n">
        <v>47123</v>
      </c>
      <c r="Q15" s="109" t="n">
        <v>14293</v>
      </c>
      <c r="R15" s="110" t="n">
        <v>32830</v>
      </c>
    </row>
    <row r="16" customFormat="false" ht="15" hidden="false" customHeight="false" outlineLevel="0" collapsed="false">
      <c r="A16" s="23" t="s">
        <v>53</v>
      </c>
      <c r="B16" s="24" t="s">
        <v>55</v>
      </c>
      <c r="C16" s="24" t="s">
        <v>103</v>
      </c>
      <c r="D16" s="130" t="n">
        <v>8810.14761598081</v>
      </c>
      <c r="E16" s="131" t="n">
        <v>12806.0106678333</v>
      </c>
      <c r="F16" s="132" t="n">
        <v>0.312030276680111</v>
      </c>
      <c r="G16" s="130" t="n">
        <v>8000</v>
      </c>
      <c r="H16" s="131" t="n">
        <v>9030</v>
      </c>
      <c r="I16" s="132" t="n">
        <v>0.1140642303433</v>
      </c>
      <c r="J16" s="136" t="n">
        <v>320.405372615419</v>
      </c>
      <c r="K16" s="137" t="n">
        <v>320.957089533355</v>
      </c>
      <c r="L16" s="128" t="b">
        <f aca="false">FALSE()</f>
        <v>0</v>
      </c>
      <c r="M16" s="133" t="n">
        <v>371</v>
      </c>
      <c r="N16" s="134" t="n">
        <v>141</v>
      </c>
      <c r="O16" s="134" t="n">
        <v>230</v>
      </c>
      <c r="P16" s="134" t="n">
        <v>104460</v>
      </c>
      <c r="Q16" s="134" t="n">
        <v>45029</v>
      </c>
      <c r="R16" s="135" t="n">
        <v>59431</v>
      </c>
    </row>
    <row r="17" customFormat="false" ht="15" hidden="false" customHeight="false" outlineLevel="0" collapsed="false">
      <c r="A17" s="23" t="s">
        <v>53</v>
      </c>
      <c r="B17" s="24" t="s">
        <v>55</v>
      </c>
      <c r="C17" s="24" t="s">
        <v>104</v>
      </c>
      <c r="D17" s="130" t="n">
        <v>5209.59615972053</v>
      </c>
      <c r="E17" s="131" t="n">
        <v>8632.0575665266</v>
      </c>
      <c r="F17" s="132" t="n">
        <v>0.396482690300594</v>
      </c>
      <c r="G17" s="42" t="n">
        <v>3440</v>
      </c>
      <c r="H17" s="43" t="n">
        <v>6450</v>
      </c>
      <c r="I17" s="70" t="n">
        <v>0.466666666666667</v>
      </c>
      <c r="J17" s="136" t="n">
        <v>322.59046532983</v>
      </c>
      <c r="K17" s="137" t="n">
        <v>322.555581693337</v>
      </c>
      <c r="L17" s="73" t="b">
        <f aca="false">TRUE()</f>
        <v>1</v>
      </c>
      <c r="M17" s="133" t="n">
        <v>5975</v>
      </c>
      <c r="N17" s="134" t="n">
        <v>3405</v>
      </c>
      <c r="O17" s="134" t="n">
        <v>2570</v>
      </c>
      <c r="P17" s="134" t="n">
        <v>1745952</v>
      </c>
      <c r="Q17" s="134" t="n">
        <v>998469</v>
      </c>
      <c r="R17" s="135" t="n">
        <v>747483</v>
      </c>
    </row>
    <row r="18" customFormat="false" ht="15" hidden="false" customHeight="false" outlineLevel="0" collapsed="false">
      <c r="A18" s="29" t="s">
        <v>53</v>
      </c>
      <c r="B18" s="30" t="s">
        <v>55</v>
      </c>
      <c r="C18" s="30" t="s">
        <v>105</v>
      </c>
      <c r="D18" s="139" t="n">
        <v>4292.18372328486</v>
      </c>
      <c r="E18" s="140" t="n">
        <v>4797.99802922482</v>
      </c>
      <c r="F18" s="141" t="n">
        <v>0.1054219495004</v>
      </c>
      <c r="G18" s="48" t="n">
        <v>3440</v>
      </c>
      <c r="H18" s="49" t="n">
        <v>3870</v>
      </c>
      <c r="I18" s="62" t="n">
        <v>0.111111111111111</v>
      </c>
      <c r="J18" s="142" t="n">
        <v>322.661639766027</v>
      </c>
      <c r="K18" s="64" t="n">
        <v>322.64326734886</v>
      </c>
      <c r="L18" s="65" t="b">
        <f aca="false">TRUE()</f>
        <v>1</v>
      </c>
      <c r="M18" s="143" t="n">
        <v>16623</v>
      </c>
      <c r="N18" s="144" t="n">
        <v>10467</v>
      </c>
      <c r="O18" s="144" t="n">
        <v>6156</v>
      </c>
      <c r="P18" s="144" t="n">
        <v>5205190</v>
      </c>
      <c r="Q18" s="144" t="n">
        <v>3168428</v>
      </c>
      <c r="R18" s="145" t="n">
        <v>2036762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D1:F1"/>
    <mergeCell ref="G1:I1"/>
    <mergeCell ref="J1:L1"/>
    <mergeCell ref="M1:R1"/>
  </mergeCells>
  <hyperlinks>
    <hyperlink ref="T1" location="'Índice'!A1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3" activeCellId="0" sqref="D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.43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8" min="7" style="0" width="16"/>
    <col collapsed="false" customWidth="true" hidden="false" outlineLevel="0" max="9" min="9" style="0" width="17"/>
    <col collapsed="false" customWidth="true" hidden="false" outlineLevel="0" max="11" min="10" style="0" width="13"/>
    <col collapsed="false" customWidth="true" hidden="false" outlineLevel="0" max="18" min="12" style="0" width="12"/>
    <col collapsed="false" customWidth="true" hidden="false" outlineLevel="0" max="19" min="19" style="0" width="8.71"/>
    <col collapsed="false" customWidth="true" hidden="false" outlineLevel="0" max="20" min="20" style="0" width="20"/>
    <col collapsed="false" customWidth="true" hidden="false" outlineLevel="0" max="26" min="21" style="0" width="8.71"/>
  </cols>
  <sheetData>
    <row r="1" customFormat="false" ht="15" hidden="false" customHeight="false" outlineLevel="0" collapsed="false">
      <c r="A1" s="56"/>
      <c r="B1" s="101" t="s">
        <v>121</v>
      </c>
      <c r="C1" s="101" t="s">
        <v>19</v>
      </c>
      <c r="D1" s="56" t="s">
        <v>36</v>
      </c>
      <c r="E1" s="56"/>
      <c r="F1" s="56"/>
      <c r="G1" s="56" t="s">
        <v>37</v>
      </c>
      <c r="H1" s="56"/>
      <c r="I1" s="56"/>
      <c r="J1" s="57" t="s">
        <v>38</v>
      </c>
      <c r="K1" s="57"/>
      <c r="L1" s="57"/>
      <c r="M1" s="106" t="s">
        <v>122</v>
      </c>
      <c r="N1" s="106"/>
      <c r="O1" s="106"/>
      <c r="P1" s="106"/>
      <c r="Q1" s="106"/>
      <c r="R1" s="106"/>
      <c r="T1" s="15" t="s">
        <v>39</v>
      </c>
    </row>
    <row r="2" customFormat="false" ht="15" hidden="false" customHeight="false" outlineLevel="0" collapsed="false">
      <c r="A2" s="16" t="s">
        <v>40</v>
      </c>
      <c r="B2" s="17" t="s">
        <v>123</v>
      </c>
      <c r="C2" s="17" t="s">
        <v>124</v>
      </c>
      <c r="D2" s="16" t="s">
        <v>43</v>
      </c>
      <c r="E2" s="17" t="s">
        <v>44</v>
      </c>
      <c r="F2" s="17" t="s">
        <v>45</v>
      </c>
      <c r="G2" s="16" t="s">
        <v>47</v>
      </c>
      <c r="H2" s="17" t="s">
        <v>48</v>
      </c>
      <c r="I2" s="17" t="s">
        <v>49</v>
      </c>
      <c r="J2" s="59" t="s">
        <v>50</v>
      </c>
      <c r="K2" s="60" t="s">
        <v>51</v>
      </c>
      <c r="L2" s="60" t="s">
        <v>52</v>
      </c>
      <c r="M2" s="59" t="s">
        <v>125</v>
      </c>
      <c r="N2" s="60" t="s">
        <v>126</v>
      </c>
      <c r="O2" s="60" t="s">
        <v>127</v>
      </c>
      <c r="P2" s="60" t="s">
        <v>128</v>
      </c>
      <c r="Q2" s="60" t="s">
        <v>129</v>
      </c>
      <c r="R2" s="107" t="s">
        <v>130</v>
      </c>
    </row>
    <row r="3" customFormat="false" ht="15" hidden="false" customHeight="false" outlineLevel="0" collapsed="false">
      <c r="A3" s="23" t="s">
        <v>53</v>
      </c>
      <c r="B3" s="24" t="s">
        <v>96</v>
      </c>
      <c r="C3" s="24" t="s">
        <v>113</v>
      </c>
      <c r="D3" s="42" t="n">
        <v>9334.14695954406</v>
      </c>
      <c r="E3" s="43" t="n">
        <v>10519.0327425062</v>
      </c>
      <c r="F3" s="70" t="n">
        <v>0.112642085253157</v>
      </c>
      <c r="G3" s="42" t="n">
        <v>8600</v>
      </c>
      <c r="H3" s="43" t="n">
        <v>9890</v>
      </c>
      <c r="I3" s="70" t="n">
        <v>0.130434782608696</v>
      </c>
      <c r="J3" s="71" t="n">
        <v>321.657954966314</v>
      </c>
      <c r="K3" s="72" t="n">
        <v>322.127672618873</v>
      </c>
      <c r="L3" s="73" t="b">
        <f aca="false">TRUE()</f>
        <v>1</v>
      </c>
      <c r="M3" s="108" t="n">
        <v>1040</v>
      </c>
      <c r="N3" s="109" t="n">
        <v>373</v>
      </c>
      <c r="O3" s="109" t="n">
        <v>667</v>
      </c>
      <c r="P3" s="109" t="n">
        <v>282688</v>
      </c>
      <c r="Q3" s="109" t="n">
        <v>99837</v>
      </c>
      <c r="R3" s="110" t="n">
        <v>182851</v>
      </c>
    </row>
    <row r="4" customFormat="false" ht="15" hidden="false" customHeight="false" outlineLevel="0" collapsed="false">
      <c r="A4" s="23" t="s">
        <v>53</v>
      </c>
      <c r="B4" s="24" t="s">
        <v>96</v>
      </c>
      <c r="C4" s="24" t="s">
        <v>114</v>
      </c>
      <c r="D4" s="42" t="n">
        <v>11794.729962014</v>
      </c>
      <c r="E4" s="43" t="n">
        <v>12895.44282841</v>
      </c>
      <c r="F4" s="70" t="n">
        <v>0.0853567326878498</v>
      </c>
      <c r="G4" s="42" t="n">
        <v>10320</v>
      </c>
      <c r="H4" s="43" t="n">
        <v>11094</v>
      </c>
      <c r="I4" s="70" t="n">
        <v>0.0697674418604651</v>
      </c>
      <c r="J4" s="71" t="n">
        <v>322.602806778561</v>
      </c>
      <c r="K4" s="72" t="n">
        <v>322.634344740214</v>
      </c>
      <c r="L4" s="73" t="b">
        <f aca="false">TRUE()</f>
        <v>1</v>
      </c>
      <c r="M4" s="108" t="n">
        <v>11082</v>
      </c>
      <c r="N4" s="109" t="n">
        <v>4393</v>
      </c>
      <c r="O4" s="109" t="n">
        <v>6689</v>
      </c>
      <c r="P4" s="109" t="n">
        <v>2861284</v>
      </c>
      <c r="Q4" s="109" t="n">
        <v>1133048</v>
      </c>
      <c r="R4" s="110" t="n">
        <v>1728236</v>
      </c>
    </row>
    <row r="5" customFormat="false" ht="15" hidden="false" customHeight="false" outlineLevel="0" collapsed="false">
      <c r="A5" s="23" t="s">
        <v>53</v>
      </c>
      <c r="B5" s="24" t="s">
        <v>96</v>
      </c>
      <c r="C5" s="24" t="s">
        <v>115</v>
      </c>
      <c r="D5" s="42" t="n">
        <v>13306.0659266616</v>
      </c>
      <c r="E5" s="43" t="n">
        <v>15507.0791208802</v>
      </c>
      <c r="F5" s="70" t="n">
        <v>0.141936026576076</v>
      </c>
      <c r="G5" s="42" t="n">
        <v>10750</v>
      </c>
      <c r="H5" s="43" t="n">
        <v>12900</v>
      </c>
      <c r="I5" s="70" t="n">
        <v>0.166666666666667</v>
      </c>
      <c r="J5" s="71" t="n">
        <v>322.618882605612</v>
      </c>
      <c r="K5" s="72" t="n">
        <v>322.643187661835</v>
      </c>
      <c r="L5" s="73" t="b">
        <f aca="false">TRUE()</f>
        <v>1</v>
      </c>
      <c r="M5" s="108" t="n">
        <v>12991</v>
      </c>
      <c r="N5" s="109" t="n">
        <v>5253</v>
      </c>
      <c r="O5" s="109" t="n">
        <v>7738</v>
      </c>
      <c r="P5" s="109" t="n">
        <v>3401024</v>
      </c>
      <c r="Q5" s="109" t="n">
        <v>1374315</v>
      </c>
      <c r="R5" s="110" t="n">
        <v>2026709</v>
      </c>
    </row>
    <row r="6" customFormat="false" ht="15" hidden="false" customHeight="false" outlineLevel="0" collapsed="false">
      <c r="A6" s="23" t="s">
        <v>53</v>
      </c>
      <c r="B6" s="24" t="s">
        <v>96</v>
      </c>
      <c r="C6" s="24" t="s">
        <v>116</v>
      </c>
      <c r="D6" s="42" t="n">
        <v>13065.3659758998</v>
      </c>
      <c r="E6" s="43" t="n">
        <v>15400.7934938249</v>
      </c>
      <c r="F6" s="70" t="n">
        <v>0.151643324018432</v>
      </c>
      <c r="G6" s="42" t="n">
        <v>10750</v>
      </c>
      <c r="H6" s="43" t="n">
        <v>12900</v>
      </c>
      <c r="I6" s="70" t="n">
        <v>0.166666666666667</v>
      </c>
      <c r="J6" s="71" t="n">
        <v>322.59967648986</v>
      </c>
      <c r="K6" s="72" t="n">
        <v>322.633317090341</v>
      </c>
      <c r="L6" s="73" t="b">
        <f aca="false">TRUE()</f>
        <v>1</v>
      </c>
      <c r="M6" s="108" t="n">
        <v>10877</v>
      </c>
      <c r="N6" s="109" t="n">
        <v>4353</v>
      </c>
      <c r="O6" s="109" t="n">
        <v>6524</v>
      </c>
      <c r="P6" s="109" t="n">
        <v>2794749</v>
      </c>
      <c r="Q6" s="109" t="n">
        <v>1095594</v>
      </c>
      <c r="R6" s="110" t="n">
        <v>1699155</v>
      </c>
    </row>
    <row r="7" customFormat="false" ht="15" hidden="false" customHeight="false" outlineLevel="0" collapsed="false">
      <c r="A7" s="23" t="s">
        <v>53</v>
      </c>
      <c r="B7" s="24" t="s">
        <v>96</v>
      </c>
      <c r="C7" s="24" t="s">
        <v>117</v>
      </c>
      <c r="D7" s="42" t="n">
        <v>12794.1747985785</v>
      </c>
      <c r="E7" s="43" t="n">
        <v>15150.5278475077</v>
      </c>
      <c r="F7" s="70" t="n">
        <v>0.155529435848456</v>
      </c>
      <c r="G7" s="42" t="n">
        <v>10320</v>
      </c>
      <c r="H7" s="43" t="n">
        <v>12040</v>
      </c>
      <c r="I7" s="70" t="n">
        <v>0.142857142857143</v>
      </c>
      <c r="J7" s="71" t="n">
        <v>322.564962156627</v>
      </c>
      <c r="K7" s="72" t="n">
        <v>322.616281216121</v>
      </c>
      <c r="L7" s="73" t="b">
        <f aca="false">TRUE()</f>
        <v>1</v>
      </c>
      <c r="M7" s="108" t="n">
        <v>7968</v>
      </c>
      <c r="N7" s="109" t="n">
        <v>3081</v>
      </c>
      <c r="O7" s="109" t="n">
        <v>4887</v>
      </c>
      <c r="P7" s="109" t="n">
        <v>2130216</v>
      </c>
      <c r="Q7" s="109" t="n">
        <v>801677</v>
      </c>
      <c r="R7" s="110" t="n">
        <v>1328539</v>
      </c>
    </row>
    <row r="8" customFormat="false" ht="15" hidden="false" customHeight="false" outlineLevel="0" collapsed="false">
      <c r="A8" s="23" t="s">
        <v>53</v>
      </c>
      <c r="B8" s="24" t="s">
        <v>96</v>
      </c>
      <c r="C8" s="24" t="s">
        <v>118</v>
      </c>
      <c r="D8" s="42" t="n">
        <v>12901.5379574903</v>
      </c>
      <c r="E8" s="43" t="n">
        <v>15016.8227189188</v>
      </c>
      <c r="F8" s="70" t="n">
        <v>0.140861006420721</v>
      </c>
      <c r="G8" s="42" t="n">
        <v>10000</v>
      </c>
      <c r="H8" s="43" t="n">
        <v>10750</v>
      </c>
      <c r="I8" s="70" t="n">
        <v>0.0697674418604651</v>
      </c>
      <c r="J8" s="71" t="n">
        <v>322.10551876792</v>
      </c>
      <c r="K8" s="72" t="n">
        <v>322.461047291155</v>
      </c>
      <c r="L8" s="73" t="b">
        <f aca="false">TRUE()</f>
        <v>1</v>
      </c>
      <c r="M8" s="108" t="n">
        <v>2241</v>
      </c>
      <c r="N8" s="109" t="n">
        <v>653</v>
      </c>
      <c r="O8" s="109" t="n">
        <v>1588</v>
      </c>
      <c r="P8" s="109" t="n">
        <v>620497</v>
      </c>
      <c r="Q8" s="109" t="n">
        <v>175960</v>
      </c>
      <c r="R8" s="110" t="n">
        <v>444537</v>
      </c>
    </row>
    <row r="9" customFormat="false" ht="15" hidden="false" customHeight="false" outlineLevel="0" collapsed="false">
      <c r="A9" s="111" t="s">
        <v>53</v>
      </c>
      <c r="B9" s="112" t="s">
        <v>97</v>
      </c>
      <c r="C9" s="112" t="s">
        <v>113</v>
      </c>
      <c r="D9" s="113" t="n">
        <v>6351.49540174521</v>
      </c>
      <c r="E9" s="114" t="n">
        <v>7459.47567068132</v>
      </c>
      <c r="F9" s="115" t="n">
        <v>0.148533263978715</v>
      </c>
      <c r="G9" s="113" t="n">
        <v>6450</v>
      </c>
      <c r="H9" s="114" t="n">
        <v>7000</v>
      </c>
      <c r="I9" s="115" t="n">
        <v>0.0785714285714286</v>
      </c>
      <c r="J9" s="116" t="n">
        <v>322.307256296864</v>
      </c>
      <c r="K9" s="117" t="n">
        <v>322.559365102551</v>
      </c>
      <c r="L9" s="118" t="b">
        <f aca="false">TRUE()</f>
        <v>1</v>
      </c>
      <c r="M9" s="119" t="n">
        <v>3166</v>
      </c>
      <c r="N9" s="120" t="n">
        <v>819</v>
      </c>
      <c r="O9" s="120" t="n">
        <v>2347</v>
      </c>
      <c r="P9" s="120" t="n">
        <v>1036254</v>
      </c>
      <c r="Q9" s="120" t="n">
        <v>267819</v>
      </c>
      <c r="R9" s="121" t="n">
        <v>768435</v>
      </c>
    </row>
    <row r="10" customFormat="false" ht="15" hidden="false" customHeight="false" outlineLevel="0" collapsed="false">
      <c r="A10" s="23" t="s">
        <v>53</v>
      </c>
      <c r="B10" s="24" t="s">
        <v>97</v>
      </c>
      <c r="C10" s="24" t="s">
        <v>114</v>
      </c>
      <c r="D10" s="42" t="n">
        <v>7769.43743129067</v>
      </c>
      <c r="E10" s="43" t="n">
        <v>9579.14058549498</v>
      </c>
      <c r="F10" s="70" t="n">
        <v>0.188921243826886</v>
      </c>
      <c r="G10" s="42" t="n">
        <v>6880</v>
      </c>
      <c r="H10" s="43" t="n">
        <v>8600</v>
      </c>
      <c r="I10" s="70" t="n">
        <v>0.2</v>
      </c>
      <c r="J10" s="71" t="n">
        <v>322.57939833103</v>
      </c>
      <c r="K10" s="72" t="n">
        <v>322.634515536022</v>
      </c>
      <c r="L10" s="73" t="b">
        <f aca="false">TRUE()</f>
        <v>1</v>
      </c>
      <c r="M10" s="108" t="n">
        <v>8246</v>
      </c>
      <c r="N10" s="109" t="n">
        <v>2792</v>
      </c>
      <c r="O10" s="109" t="n">
        <v>5454</v>
      </c>
      <c r="P10" s="109" t="n">
        <v>2635518</v>
      </c>
      <c r="Q10" s="109" t="n">
        <v>902352</v>
      </c>
      <c r="R10" s="110" t="n">
        <v>1733166</v>
      </c>
    </row>
    <row r="11" customFormat="false" ht="15" hidden="false" customHeight="false" outlineLevel="0" collapsed="false">
      <c r="A11" s="23" t="s">
        <v>53</v>
      </c>
      <c r="B11" s="24" t="s">
        <v>97</v>
      </c>
      <c r="C11" s="24" t="s">
        <v>115</v>
      </c>
      <c r="D11" s="42" t="n">
        <v>8455.84249041507</v>
      </c>
      <c r="E11" s="43" t="n">
        <v>10696.6357849832</v>
      </c>
      <c r="F11" s="70" t="n">
        <v>0.209485799050382</v>
      </c>
      <c r="G11" s="42" t="n">
        <v>7310</v>
      </c>
      <c r="H11" s="43" t="n">
        <v>9030</v>
      </c>
      <c r="I11" s="70" t="n">
        <v>0.19047619047619</v>
      </c>
      <c r="J11" s="71" t="n">
        <v>322.579078687369</v>
      </c>
      <c r="K11" s="72" t="n">
        <v>322.635972147501</v>
      </c>
      <c r="L11" s="73" t="b">
        <f aca="false">TRUE()</f>
        <v>1</v>
      </c>
      <c r="M11" s="108" t="n">
        <v>8266</v>
      </c>
      <c r="N11" s="109" t="n">
        <v>2785</v>
      </c>
      <c r="O11" s="109" t="n">
        <v>5481</v>
      </c>
      <c r="P11" s="109" t="n">
        <v>2676232</v>
      </c>
      <c r="Q11" s="109" t="n">
        <v>899850</v>
      </c>
      <c r="R11" s="110" t="n">
        <v>1776382</v>
      </c>
    </row>
    <row r="12" customFormat="false" ht="15" hidden="false" customHeight="false" outlineLevel="0" collapsed="false">
      <c r="A12" s="23" t="s">
        <v>53</v>
      </c>
      <c r="B12" s="24" t="s">
        <v>97</v>
      </c>
      <c r="C12" s="24" t="s">
        <v>116</v>
      </c>
      <c r="D12" s="42" t="n">
        <v>8157.73938385189</v>
      </c>
      <c r="E12" s="43" t="n">
        <v>10500.7032402305</v>
      </c>
      <c r="F12" s="70" t="n">
        <v>0.223124471073725</v>
      </c>
      <c r="G12" s="42" t="n">
        <v>7224</v>
      </c>
      <c r="H12" s="43" t="n">
        <v>9030</v>
      </c>
      <c r="I12" s="70" t="n">
        <v>0.2</v>
      </c>
      <c r="J12" s="71" t="n">
        <v>322.56749643445</v>
      </c>
      <c r="K12" s="72" t="n">
        <v>322.62940245989</v>
      </c>
      <c r="L12" s="73" t="b">
        <f aca="false">TRUE()</f>
        <v>1</v>
      </c>
      <c r="M12" s="108" t="n">
        <v>7747</v>
      </c>
      <c r="N12" s="109" t="n">
        <v>2744</v>
      </c>
      <c r="O12" s="109" t="n">
        <v>5003</v>
      </c>
      <c r="P12" s="109" t="n">
        <v>2414493</v>
      </c>
      <c r="Q12" s="109" t="n">
        <v>817693</v>
      </c>
      <c r="R12" s="110" t="n">
        <v>1596800</v>
      </c>
    </row>
    <row r="13" customFormat="false" ht="15" hidden="false" customHeight="false" outlineLevel="0" collapsed="false">
      <c r="A13" s="23" t="s">
        <v>53</v>
      </c>
      <c r="B13" s="24" t="s">
        <v>97</v>
      </c>
      <c r="C13" s="24" t="s">
        <v>117</v>
      </c>
      <c r="D13" s="42" t="n">
        <v>7471.20848044926</v>
      </c>
      <c r="E13" s="43" t="n">
        <v>10072.8854641806</v>
      </c>
      <c r="F13" s="70" t="n">
        <v>0.258285174886875</v>
      </c>
      <c r="G13" s="42" t="n">
        <v>6450</v>
      </c>
      <c r="H13" s="43" t="n">
        <v>8600</v>
      </c>
      <c r="I13" s="70" t="n">
        <v>0.25</v>
      </c>
      <c r="J13" s="71" t="n">
        <v>322.523933139641</v>
      </c>
      <c r="K13" s="72" t="n">
        <v>322.617500225574</v>
      </c>
      <c r="L13" s="73" t="b">
        <f aca="false">TRUE()</f>
        <v>1</v>
      </c>
      <c r="M13" s="108" t="n">
        <v>6222</v>
      </c>
      <c r="N13" s="109" t="n">
        <v>2066</v>
      </c>
      <c r="O13" s="109" t="n">
        <v>4156</v>
      </c>
      <c r="P13" s="109" t="n">
        <v>1958251</v>
      </c>
      <c r="Q13" s="109" t="n">
        <v>608647</v>
      </c>
      <c r="R13" s="110" t="n">
        <v>1349604</v>
      </c>
    </row>
    <row r="14" customFormat="false" ht="15" hidden="false" customHeight="false" outlineLevel="0" collapsed="false">
      <c r="A14" s="29" t="s">
        <v>53</v>
      </c>
      <c r="B14" s="30" t="s">
        <v>97</v>
      </c>
      <c r="C14" s="30" t="s">
        <v>118</v>
      </c>
      <c r="D14" s="48" t="n">
        <v>6787.22109194342</v>
      </c>
      <c r="E14" s="49" t="n">
        <v>8566.4337874866</v>
      </c>
      <c r="F14" s="62" t="n">
        <v>0.207695843997786</v>
      </c>
      <c r="G14" s="48" t="n">
        <v>6400</v>
      </c>
      <c r="H14" s="49" t="n">
        <v>7740</v>
      </c>
      <c r="I14" s="62" t="n">
        <v>0.17312661498708</v>
      </c>
      <c r="J14" s="63" t="n">
        <v>322.412896099372</v>
      </c>
      <c r="K14" s="64" t="n">
        <v>322.582010251764</v>
      </c>
      <c r="L14" s="65" t="b">
        <f aca="false">TRUE()</f>
        <v>1</v>
      </c>
      <c r="M14" s="122" t="n">
        <v>3916</v>
      </c>
      <c r="N14" s="123" t="n">
        <v>1114</v>
      </c>
      <c r="O14" s="123" t="n">
        <v>2802</v>
      </c>
      <c r="P14" s="123" t="n">
        <v>1291774</v>
      </c>
      <c r="Q14" s="123" t="n">
        <v>368444</v>
      </c>
      <c r="R14" s="124" t="n">
        <v>923330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D1:F1"/>
    <mergeCell ref="G1:I1"/>
    <mergeCell ref="J1:L1"/>
    <mergeCell ref="M1:R1"/>
  </mergeCells>
  <hyperlinks>
    <hyperlink ref="T1" location="'Índice'!A1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3" activeCellId="0" sqref="D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.43"/>
    <col collapsed="false" customWidth="true" hidden="false" outlineLevel="0" max="3" min="3" style="0" width="28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8" min="7" style="0" width="16"/>
    <col collapsed="false" customWidth="true" hidden="false" outlineLevel="0" max="9" min="9" style="0" width="17"/>
    <col collapsed="false" customWidth="true" hidden="false" outlineLevel="0" max="11" min="10" style="0" width="13"/>
    <col collapsed="false" customWidth="true" hidden="false" outlineLevel="0" max="18" min="12" style="0" width="12"/>
    <col collapsed="false" customWidth="true" hidden="false" outlineLevel="0" max="19" min="19" style="0" width="8.71"/>
    <col collapsed="false" customWidth="true" hidden="false" outlineLevel="0" max="20" min="20" style="0" width="20"/>
    <col collapsed="false" customWidth="true" hidden="false" outlineLevel="0" max="26" min="21" style="0" width="8.71"/>
  </cols>
  <sheetData>
    <row r="1" customFormat="false" ht="15" hidden="false" customHeight="false" outlineLevel="0" collapsed="false">
      <c r="A1" s="56"/>
      <c r="B1" s="101" t="s">
        <v>121</v>
      </c>
      <c r="C1" s="101" t="s">
        <v>17</v>
      </c>
      <c r="D1" s="56" t="s">
        <v>36</v>
      </c>
      <c r="E1" s="56"/>
      <c r="F1" s="56"/>
      <c r="G1" s="56" t="s">
        <v>37</v>
      </c>
      <c r="H1" s="56"/>
      <c r="I1" s="56"/>
      <c r="J1" s="57" t="s">
        <v>38</v>
      </c>
      <c r="K1" s="57"/>
      <c r="L1" s="57"/>
      <c r="M1" s="106" t="s">
        <v>122</v>
      </c>
      <c r="N1" s="106"/>
      <c r="O1" s="106"/>
      <c r="P1" s="106"/>
      <c r="Q1" s="106"/>
      <c r="R1" s="106"/>
      <c r="T1" s="15" t="s">
        <v>39</v>
      </c>
    </row>
    <row r="2" customFormat="false" ht="15" hidden="false" customHeight="false" outlineLevel="0" collapsed="false">
      <c r="A2" s="16" t="s">
        <v>40</v>
      </c>
      <c r="B2" s="17" t="s">
        <v>123</v>
      </c>
      <c r="C2" s="17" t="s">
        <v>124</v>
      </c>
      <c r="D2" s="16" t="s">
        <v>43</v>
      </c>
      <c r="E2" s="17" t="s">
        <v>44</v>
      </c>
      <c r="F2" s="17" t="s">
        <v>45</v>
      </c>
      <c r="G2" s="16" t="s">
        <v>47</v>
      </c>
      <c r="H2" s="17" t="s">
        <v>48</v>
      </c>
      <c r="I2" s="17" t="s">
        <v>49</v>
      </c>
      <c r="J2" s="59" t="s">
        <v>50</v>
      </c>
      <c r="K2" s="60" t="s">
        <v>51</v>
      </c>
      <c r="L2" s="60" t="s">
        <v>52</v>
      </c>
      <c r="M2" s="59" t="s">
        <v>125</v>
      </c>
      <c r="N2" s="60" t="s">
        <v>126</v>
      </c>
      <c r="O2" s="60" t="s">
        <v>127</v>
      </c>
      <c r="P2" s="60" t="s">
        <v>128</v>
      </c>
      <c r="Q2" s="60" t="s">
        <v>129</v>
      </c>
      <c r="R2" s="107" t="s">
        <v>130</v>
      </c>
    </row>
    <row r="3" customFormat="false" ht="15" hidden="false" customHeight="false" outlineLevel="0" collapsed="false">
      <c r="A3" s="111" t="s">
        <v>53</v>
      </c>
      <c r="B3" s="112" t="s">
        <v>96</v>
      </c>
      <c r="C3" s="112" t="s">
        <v>107</v>
      </c>
      <c r="D3" s="113" t="n">
        <v>9087.91766945652</v>
      </c>
      <c r="E3" s="114" t="n">
        <v>11081.7413601459</v>
      </c>
      <c r="F3" s="115" t="n">
        <v>0.179919709898656</v>
      </c>
      <c r="G3" s="113" t="n">
        <v>8600</v>
      </c>
      <c r="H3" s="114" t="n">
        <v>10320</v>
      </c>
      <c r="I3" s="115" t="n">
        <v>0.166666666666667</v>
      </c>
      <c r="J3" s="116" t="n">
        <v>322.383956875915</v>
      </c>
      <c r="K3" s="117" t="n">
        <v>322.559025414354</v>
      </c>
      <c r="L3" s="118" t="b">
        <f aca="false">TRUE()</f>
        <v>1</v>
      </c>
      <c r="M3" s="119" t="n">
        <v>3926</v>
      </c>
      <c r="N3" s="120" t="n">
        <v>1224</v>
      </c>
      <c r="O3" s="120" t="n">
        <v>2702</v>
      </c>
      <c r="P3" s="120" t="n">
        <v>1100574</v>
      </c>
      <c r="Q3" s="120" t="n">
        <v>334068</v>
      </c>
      <c r="R3" s="121" t="n">
        <v>766506</v>
      </c>
    </row>
    <row r="4" customFormat="false" ht="15" hidden="false" customHeight="false" outlineLevel="0" collapsed="false">
      <c r="A4" s="23" t="s">
        <v>53</v>
      </c>
      <c r="B4" s="24" t="s">
        <v>96</v>
      </c>
      <c r="C4" s="24" t="s">
        <v>108</v>
      </c>
      <c r="D4" s="42" t="n">
        <v>10102.2041473924</v>
      </c>
      <c r="E4" s="43" t="n">
        <v>12099.2855847405</v>
      </c>
      <c r="F4" s="70" t="n">
        <v>0.165057798112215</v>
      </c>
      <c r="G4" s="42" t="n">
        <v>9030</v>
      </c>
      <c r="H4" s="43" t="n">
        <v>10750</v>
      </c>
      <c r="I4" s="70" t="n">
        <v>0.16</v>
      </c>
      <c r="J4" s="71" t="n">
        <v>322.601973169665</v>
      </c>
      <c r="K4" s="72" t="n">
        <v>322.6437973558</v>
      </c>
      <c r="L4" s="73" t="b">
        <f aca="false">TRUE()</f>
        <v>1</v>
      </c>
      <c r="M4" s="108" t="n">
        <v>11944</v>
      </c>
      <c r="N4" s="109" t="n">
        <v>4303</v>
      </c>
      <c r="O4" s="109" t="n">
        <v>7641</v>
      </c>
      <c r="P4" s="109" t="n">
        <v>3173958</v>
      </c>
      <c r="Q4" s="109" t="n">
        <v>1122826</v>
      </c>
      <c r="R4" s="110" t="n">
        <v>2051132</v>
      </c>
    </row>
    <row r="5" customFormat="false" ht="15" hidden="false" customHeight="false" outlineLevel="0" collapsed="false">
      <c r="A5" s="23" t="s">
        <v>53</v>
      </c>
      <c r="B5" s="24" t="s">
        <v>96</v>
      </c>
      <c r="C5" s="24" t="s">
        <v>109</v>
      </c>
      <c r="D5" s="42" t="n">
        <v>10805.702060123</v>
      </c>
      <c r="E5" s="43" t="n">
        <v>13129.2015054117</v>
      </c>
      <c r="F5" s="70" t="n">
        <v>0.176971877865608</v>
      </c>
      <c r="G5" s="42" t="n">
        <v>9632</v>
      </c>
      <c r="H5" s="43" t="n">
        <v>11610</v>
      </c>
      <c r="I5" s="70" t="n">
        <v>0.17037037037037</v>
      </c>
      <c r="J5" s="71" t="n">
        <v>322.61449928549</v>
      </c>
      <c r="K5" s="72" t="n">
        <v>322.648743984596</v>
      </c>
      <c r="L5" s="73" t="b">
        <f aca="false">TRUE()</f>
        <v>1</v>
      </c>
      <c r="M5" s="108" t="n">
        <v>13556</v>
      </c>
      <c r="N5" s="109" t="n">
        <v>4946</v>
      </c>
      <c r="O5" s="109" t="n">
        <v>8610</v>
      </c>
      <c r="P5" s="109" t="n">
        <v>3572301</v>
      </c>
      <c r="Q5" s="109" t="n">
        <v>1298903</v>
      </c>
      <c r="R5" s="110" t="n">
        <v>2273398</v>
      </c>
    </row>
    <row r="6" customFormat="false" ht="15" hidden="false" customHeight="false" outlineLevel="0" collapsed="false">
      <c r="A6" s="23" t="s">
        <v>53</v>
      </c>
      <c r="B6" s="24" t="s">
        <v>96</v>
      </c>
      <c r="C6" s="24" t="s">
        <v>110</v>
      </c>
      <c r="D6" s="42" t="n">
        <v>12217.3428014547</v>
      </c>
      <c r="E6" s="43" t="n">
        <v>14256.2483777053</v>
      </c>
      <c r="F6" s="70" t="n">
        <v>0.143018381991657</v>
      </c>
      <c r="G6" s="42" t="n">
        <v>10750</v>
      </c>
      <c r="H6" s="43" t="n">
        <v>12900</v>
      </c>
      <c r="I6" s="70" t="n">
        <v>0.166666666666667</v>
      </c>
      <c r="J6" s="71" t="n">
        <v>322.201659302283</v>
      </c>
      <c r="K6" s="72" t="n">
        <v>322.175055676499</v>
      </c>
      <c r="L6" s="73" t="b">
        <f aca="false">TRUE()</f>
        <v>1</v>
      </c>
      <c r="M6" s="108" t="n">
        <v>1489</v>
      </c>
      <c r="N6" s="109" t="n">
        <v>796</v>
      </c>
      <c r="O6" s="109" t="n">
        <v>693</v>
      </c>
      <c r="P6" s="109" t="n">
        <v>409918</v>
      </c>
      <c r="Q6" s="109" t="n">
        <v>210355</v>
      </c>
      <c r="R6" s="110" t="n">
        <v>199563</v>
      </c>
    </row>
    <row r="7" customFormat="false" ht="15" hidden="false" customHeight="false" outlineLevel="0" collapsed="false">
      <c r="A7" s="23" t="s">
        <v>53</v>
      </c>
      <c r="B7" s="24" t="s">
        <v>96</v>
      </c>
      <c r="C7" s="24" t="s">
        <v>111</v>
      </c>
      <c r="D7" s="42" t="n">
        <v>16013.5398989828</v>
      </c>
      <c r="E7" s="43" t="n">
        <v>19236.5765638125</v>
      </c>
      <c r="F7" s="70" t="n">
        <v>0.167547310413476</v>
      </c>
      <c r="G7" s="42" t="n">
        <v>13000</v>
      </c>
      <c r="H7" s="43" t="n">
        <v>15200</v>
      </c>
      <c r="I7" s="70" t="n">
        <v>0.144736842105263</v>
      </c>
      <c r="J7" s="71" t="n">
        <v>322.627925651427</v>
      </c>
      <c r="K7" s="72" t="n">
        <v>322.640847973011</v>
      </c>
      <c r="L7" s="73" t="b">
        <f aca="false">TRUE()</f>
        <v>1</v>
      </c>
      <c r="M7" s="108" t="n">
        <v>13853</v>
      </c>
      <c r="N7" s="109" t="n">
        <v>6152</v>
      </c>
      <c r="O7" s="109" t="n">
        <v>7701</v>
      </c>
      <c r="P7" s="109" t="n">
        <v>3499466</v>
      </c>
      <c r="Q7" s="109" t="n">
        <v>1561318</v>
      </c>
      <c r="R7" s="110" t="n">
        <v>1938148</v>
      </c>
    </row>
    <row r="8" customFormat="false" ht="15" hidden="false" customHeight="false" outlineLevel="0" collapsed="false">
      <c r="A8" s="29" t="s">
        <v>53</v>
      </c>
      <c r="B8" s="30" t="s">
        <v>96</v>
      </c>
      <c r="C8" s="30" t="s">
        <v>112</v>
      </c>
      <c r="D8" s="48" t="n">
        <v>22773.7324253311</v>
      </c>
      <c r="E8" s="49" t="n">
        <v>30366.060149231</v>
      </c>
      <c r="F8" s="62" t="n">
        <v>0.250026762990923</v>
      </c>
      <c r="G8" s="48" t="n">
        <v>19350</v>
      </c>
      <c r="H8" s="49" t="n">
        <v>24000</v>
      </c>
      <c r="I8" s="62" t="n">
        <v>0.19375</v>
      </c>
      <c r="J8" s="63" t="n">
        <v>322.000089142336</v>
      </c>
      <c r="K8" s="64" t="n">
        <v>322.087555971783</v>
      </c>
      <c r="L8" s="65" t="b">
        <f aca="false">TRUE()</f>
        <v>1</v>
      </c>
      <c r="M8" s="122" t="n">
        <v>1369</v>
      </c>
      <c r="N8" s="123" t="n">
        <v>665</v>
      </c>
      <c r="O8" s="123" t="n">
        <v>704</v>
      </c>
      <c r="P8" s="123" t="n">
        <v>319934</v>
      </c>
      <c r="Q8" s="123" t="n">
        <v>149192</v>
      </c>
      <c r="R8" s="124" t="n">
        <v>170742</v>
      </c>
    </row>
    <row r="9" customFormat="false" ht="15" hidden="false" customHeight="false" outlineLevel="0" collapsed="false">
      <c r="A9" s="23" t="s">
        <v>53</v>
      </c>
      <c r="B9" s="24" t="s">
        <v>97</v>
      </c>
      <c r="C9" s="24" t="s">
        <v>107</v>
      </c>
      <c r="D9" s="42" t="n">
        <v>6656.61828341511</v>
      </c>
      <c r="E9" s="43" t="n">
        <v>8772.81053073909</v>
      </c>
      <c r="F9" s="70" t="n">
        <v>0.241221697414876</v>
      </c>
      <c r="G9" s="42" t="n">
        <v>6450</v>
      </c>
      <c r="H9" s="43" t="n">
        <v>8000</v>
      </c>
      <c r="I9" s="70" t="n">
        <v>0.19375</v>
      </c>
      <c r="J9" s="71" t="n">
        <v>322.588370300173</v>
      </c>
      <c r="K9" s="72" t="n">
        <v>322.655732723498</v>
      </c>
      <c r="L9" s="73" t="b">
        <f aca="false">TRUE()</f>
        <v>1</v>
      </c>
      <c r="M9" s="108" t="n">
        <v>10410</v>
      </c>
      <c r="N9" s="109" t="n">
        <v>2892</v>
      </c>
      <c r="O9" s="109" t="n">
        <v>7518</v>
      </c>
      <c r="P9" s="109" t="n">
        <v>3663085</v>
      </c>
      <c r="Q9" s="109" t="n">
        <v>978734</v>
      </c>
      <c r="R9" s="110" t="n">
        <v>2684351</v>
      </c>
    </row>
    <row r="10" customFormat="false" ht="15" hidden="false" customHeight="false" outlineLevel="0" collapsed="false">
      <c r="A10" s="23" t="s">
        <v>53</v>
      </c>
      <c r="B10" s="24" t="s">
        <v>97</v>
      </c>
      <c r="C10" s="24" t="s">
        <v>108</v>
      </c>
      <c r="D10" s="42" t="n">
        <v>7540.84145352546</v>
      </c>
      <c r="E10" s="43" t="n">
        <v>9826.3078641513</v>
      </c>
      <c r="F10" s="70" t="n">
        <v>0.232586485404529</v>
      </c>
      <c r="G10" s="42" t="n">
        <v>6450</v>
      </c>
      <c r="H10" s="43" t="n">
        <v>8600</v>
      </c>
      <c r="I10" s="70" t="n">
        <v>0.25</v>
      </c>
      <c r="J10" s="71" t="n">
        <v>322.614248508381</v>
      </c>
      <c r="K10" s="72" t="n">
        <v>322.658505258483</v>
      </c>
      <c r="L10" s="73" t="b">
        <f aca="false">TRUE()</f>
        <v>1</v>
      </c>
      <c r="M10" s="108" t="n">
        <v>13242</v>
      </c>
      <c r="N10" s="109" t="n">
        <v>4086</v>
      </c>
      <c r="O10" s="109" t="n">
        <v>9156</v>
      </c>
      <c r="P10" s="109" t="n">
        <v>4186555</v>
      </c>
      <c r="Q10" s="109" t="n">
        <v>1294838</v>
      </c>
      <c r="R10" s="110" t="n">
        <v>2891717</v>
      </c>
    </row>
    <row r="11" customFormat="false" ht="15" hidden="false" customHeight="false" outlineLevel="0" collapsed="false">
      <c r="A11" s="23" t="s">
        <v>53</v>
      </c>
      <c r="B11" s="24" t="s">
        <v>97</v>
      </c>
      <c r="C11" s="24" t="s">
        <v>109</v>
      </c>
      <c r="D11" s="42" t="n">
        <v>7809.87454048778</v>
      </c>
      <c r="E11" s="43" t="n">
        <v>10186.529392162</v>
      </c>
      <c r="F11" s="70" t="n">
        <v>0.233313502585379</v>
      </c>
      <c r="G11" s="42" t="n">
        <v>6450</v>
      </c>
      <c r="H11" s="43" t="n">
        <v>8600</v>
      </c>
      <c r="I11" s="70" t="n">
        <v>0.25</v>
      </c>
      <c r="J11" s="71" t="n">
        <v>322.584778641434</v>
      </c>
      <c r="K11" s="72" t="n">
        <v>322.637324456326</v>
      </c>
      <c r="L11" s="73" t="b">
        <f aca="false">TRUE()</f>
        <v>1</v>
      </c>
      <c r="M11" s="108" t="n">
        <v>8761</v>
      </c>
      <c r="N11" s="109" t="n">
        <v>2974</v>
      </c>
      <c r="O11" s="109" t="n">
        <v>5787</v>
      </c>
      <c r="P11" s="109" t="n">
        <v>2765134</v>
      </c>
      <c r="Q11" s="109" t="n">
        <v>946656</v>
      </c>
      <c r="R11" s="110" t="n">
        <v>1818478</v>
      </c>
    </row>
    <row r="12" customFormat="false" ht="15" hidden="false" customHeight="false" outlineLevel="0" collapsed="false">
      <c r="A12" s="23" t="s">
        <v>53</v>
      </c>
      <c r="B12" s="24" t="s">
        <v>97</v>
      </c>
      <c r="C12" s="24" t="s">
        <v>110</v>
      </c>
      <c r="D12" s="42" t="n">
        <v>8609.01083541653</v>
      </c>
      <c r="E12" s="43" t="n">
        <v>12219.6358145132</v>
      </c>
      <c r="F12" s="70" t="n">
        <v>0.295477298497584</v>
      </c>
      <c r="G12" s="42" t="n">
        <v>7740</v>
      </c>
      <c r="H12" s="43" t="n">
        <v>10750</v>
      </c>
      <c r="I12" s="70" t="n">
        <v>0.28</v>
      </c>
      <c r="J12" s="71" t="n">
        <v>321.82006959836</v>
      </c>
      <c r="K12" s="72" t="n">
        <v>321.486092169401</v>
      </c>
      <c r="L12" s="128" t="b">
        <f aca="false">FALSE()</f>
        <v>0</v>
      </c>
      <c r="M12" s="108" t="n">
        <v>671</v>
      </c>
      <c r="N12" s="109" t="n">
        <v>379</v>
      </c>
      <c r="O12" s="109" t="n">
        <v>292</v>
      </c>
      <c r="P12" s="109" t="n">
        <v>203999</v>
      </c>
      <c r="Q12" s="109" t="n">
        <v>118408</v>
      </c>
      <c r="R12" s="110" t="n">
        <v>85591</v>
      </c>
    </row>
    <row r="13" customFormat="false" ht="15" hidden="false" customHeight="false" outlineLevel="0" collapsed="false">
      <c r="A13" s="23" t="s">
        <v>53</v>
      </c>
      <c r="B13" s="24" t="s">
        <v>97</v>
      </c>
      <c r="C13" s="24" t="s">
        <v>111</v>
      </c>
      <c r="D13" s="42" t="n">
        <v>9944.01340654568</v>
      </c>
      <c r="E13" s="43" t="n">
        <v>11897.3473701393</v>
      </c>
      <c r="F13" s="70" t="n">
        <v>0.164182309116758</v>
      </c>
      <c r="G13" s="42" t="n">
        <v>8600</v>
      </c>
      <c r="H13" s="43" t="n">
        <v>9030</v>
      </c>
      <c r="I13" s="70" t="n">
        <v>0.0476190476190476</v>
      </c>
      <c r="J13" s="71" t="n">
        <v>322.487708303073</v>
      </c>
      <c r="K13" s="72" t="n">
        <v>322.529964636416</v>
      </c>
      <c r="L13" s="73" t="b">
        <f aca="false">TRUE()</f>
        <v>1</v>
      </c>
      <c r="M13" s="108" t="n">
        <v>4227</v>
      </c>
      <c r="N13" s="109" t="n">
        <v>1884</v>
      </c>
      <c r="O13" s="109" t="n">
        <v>2343</v>
      </c>
      <c r="P13" s="109" t="n">
        <v>1132903</v>
      </c>
      <c r="Q13" s="109" t="n">
        <v>501919</v>
      </c>
      <c r="R13" s="110" t="n">
        <v>630984</v>
      </c>
    </row>
    <row r="14" customFormat="false" ht="15" hidden="false" customHeight="false" outlineLevel="0" collapsed="false">
      <c r="A14" s="29" t="s">
        <v>53</v>
      </c>
      <c r="B14" s="30" t="s">
        <v>97</v>
      </c>
      <c r="C14" s="30" t="s">
        <v>112</v>
      </c>
      <c r="D14" s="48" t="n">
        <v>14892.6101601876</v>
      </c>
      <c r="E14" s="49" t="n">
        <v>18849.6687991847</v>
      </c>
      <c r="F14" s="62" t="n">
        <v>0.209927223716962</v>
      </c>
      <c r="G14" s="48" t="n">
        <v>12000</v>
      </c>
      <c r="H14" s="49" t="n">
        <v>14400</v>
      </c>
      <c r="I14" s="62" t="n">
        <v>0.166666666666667</v>
      </c>
      <c r="J14" s="63" t="n">
        <v>317.595900933516</v>
      </c>
      <c r="K14" s="64" t="n">
        <v>316.922326308753</v>
      </c>
      <c r="L14" s="129" t="b">
        <f aca="false">FALSE()</f>
        <v>0</v>
      </c>
      <c r="M14" s="122" t="n">
        <v>180</v>
      </c>
      <c r="N14" s="123" t="n">
        <v>87</v>
      </c>
      <c r="O14" s="123" t="n">
        <v>93</v>
      </c>
      <c r="P14" s="123" t="n">
        <v>37702</v>
      </c>
      <c r="Q14" s="123" t="n">
        <v>20039</v>
      </c>
      <c r="R14" s="124" t="n">
        <v>17663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D1:F1"/>
    <mergeCell ref="G1:I1"/>
    <mergeCell ref="J1:L1"/>
    <mergeCell ref="M1:R1"/>
  </mergeCells>
  <hyperlinks>
    <hyperlink ref="T1" location="'Índice'!A1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3" activeCellId="0" sqref="D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38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8" min="7" style="0" width="16"/>
    <col collapsed="false" customWidth="true" hidden="false" outlineLevel="0" max="9" min="9" style="0" width="17"/>
    <col collapsed="false" customWidth="true" hidden="false" outlineLevel="0" max="11" min="10" style="0" width="13"/>
    <col collapsed="false" customWidth="true" hidden="false" outlineLevel="0" max="18" min="12" style="0" width="12"/>
    <col collapsed="false" customWidth="true" hidden="false" outlineLevel="0" max="19" min="19" style="0" width="8.71"/>
    <col collapsed="false" customWidth="true" hidden="false" outlineLevel="0" max="20" min="20" style="0" width="20"/>
    <col collapsed="false" customWidth="true" hidden="false" outlineLevel="0" max="26" min="21" style="0" width="8.71"/>
  </cols>
  <sheetData>
    <row r="1" customFormat="false" ht="15" hidden="false" customHeight="false" outlineLevel="0" collapsed="false">
      <c r="A1" s="56"/>
      <c r="B1" s="101" t="s">
        <v>121</v>
      </c>
      <c r="C1" s="101" t="s">
        <v>16</v>
      </c>
      <c r="D1" s="56" t="s">
        <v>36</v>
      </c>
      <c r="E1" s="56"/>
      <c r="F1" s="56"/>
      <c r="G1" s="56" t="s">
        <v>37</v>
      </c>
      <c r="H1" s="56"/>
      <c r="I1" s="56"/>
      <c r="J1" s="57" t="s">
        <v>38</v>
      </c>
      <c r="K1" s="57"/>
      <c r="L1" s="57"/>
      <c r="M1" s="106" t="s">
        <v>122</v>
      </c>
      <c r="N1" s="106"/>
      <c r="O1" s="106"/>
      <c r="P1" s="106"/>
      <c r="Q1" s="106"/>
      <c r="R1" s="106"/>
      <c r="T1" s="15" t="s">
        <v>39</v>
      </c>
    </row>
    <row r="2" customFormat="false" ht="15" hidden="false" customHeight="false" outlineLevel="0" collapsed="false">
      <c r="A2" s="16" t="s">
        <v>40</v>
      </c>
      <c r="B2" s="17" t="s">
        <v>123</v>
      </c>
      <c r="C2" s="17" t="s">
        <v>124</v>
      </c>
      <c r="D2" s="16" t="s">
        <v>43</v>
      </c>
      <c r="E2" s="17" t="s">
        <v>44</v>
      </c>
      <c r="F2" s="17" t="s">
        <v>45</v>
      </c>
      <c r="G2" s="16" t="s">
        <v>47</v>
      </c>
      <c r="H2" s="17" t="s">
        <v>48</v>
      </c>
      <c r="I2" s="17" t="s">
        <v>49</v>
      </c>
      <c r="J2" s="59" t="s">
        <v>50</v>
      </c>
      <c r="K2" s="60" t="s">
        <v>51</v>
      </c>
      <c r="L2" s="60" t="s">
        <v>52</v>
      </c>
      <c r="M2" s="59" t="s">
        <v>125</v>
      </c>
      <c r="N2" s="60" t="s">
        <v>126</v>
      </c>
      <c r="O2" s="60" t="s">
        <v>127</v>
      </c>
      <c r="P2" s="60" t="s">
        <v>128</v>
      </c>
      <c r="Q2" s="60" t="s">
        <v>129</v>
      </c>
      <c r="R2" s="107" t="s">
        <v>130</v>
      </c>
    </row>
    <row r="3" customFormat="false" ht="15" hidden="false" customHeight="false" outlineLevel="0" collapsed="false">
      <c r="A3" s="23" t="s">
        <v>53</v>
      </c>
      <c r="B3" s="24" t="s">
        <v>96</v>
      </c>
      <c r="C3" s="24" t="s">
        <v>98</v>
      </c>
      <c r="D3" s="42" t="n">
        <v>24879.3734859403</v>
      </c>
      <c r="E3" s="43" t="n">
        <v>29073.9311319283</v>
      </c>
      <c r="F3" s="70" t="n">
        <v>0.144272118791037</v>
      </c>
      <c r="G3" s="42" t="n">
        <v>20000</v>
      </c>
      <c r="H3" s="43" t="n">
        <v>20000</v>
      </c>
      <c r="I3" s="70" t="n">
        <v>0</v>
      </c>
      <c r="J3" s="71" t="n">
        <v>321.900545144813</v>
      </c>
      <c r="K3" s="72" t="n">
        <v>322.218874463537</v>
      </c>
      <c r="L3" s="73" t="b">
        <f aca="false">TRUE()</f>
        <v>1</v>
      </c>
      <c r="M3" s="108" t="n">
        <v>1294</v>
      </c>
      <c r="N3" s="109" t="n">
        <v>492</v>
      </c>
      <c r="O3" s="109" t="n">
        <v>802</v>
      </c>
      <c r="P3" s="109" t="n">
        <v>348426</v>
      </c>
      <c r="Q3" s="109" t="n">
        <v>130444</v>
      </c>
      <c r="R3" s="110" t="n">
        <v>217982</v>
      </c>
    </row>
    <row r="4" customFormat="false" ht="15" hidden="false" customHeight="false" outlineLevel="0" collapsed="false">
      <c r="A4" s="23" t="s">
        <v>53</v>
      </c>
      <c r="B4" s="24" t="s">
        <v>96</v>
      </c>
      <c r="C4" s="24" t="s">
        <v>99</v>
      </c>
      <c r="D4" s="42" t="n">
        <v>18326.7077875332</v>
      </c>
      <c r="E4" s="43" t="n">
        <v>21003.4297996093</v>
      </c>
      <c r="F4" s="70" t="n">
        <v>0.127442138622804</v>
      </c>
      <c r="G4" s="42" t="n">
        <v>15050</v>
      </c>
      <c r="H4" s="43" t="n">
        <v>17200</v>
      </c>
      <c r="I4" s="70" t="n">
        <v>0.125</v>
      </c>
      <c r="J4" s="71" t="n">
        <v>321.9634007409</v>
      </c>
      <c r="K4" s="72" t="n">
        <v>322.186957001823</v>
      </c>
      <c r="L4" s="73" t="b">
        <f aca="false">TRUE()</f>
        <v>1</v>
      </c>
      <c r="M4" s="108" t="n">
        <v>1373</v>
      </c>
      <c r="N4" s="109" t="n">
        <v>521</v>
      </c>
      <c r="O4" s="109" t="n">
        <v>852</v>
      </c>
      <c r="P4" s="109" t="n">
        <v>345939</v>
      </c>
      <c r="Q4" s="109" t="n">
        <v>141688</v>
      </c>
      <c r="R4" s="110" t="n">
        <v>204251</v>
      </c>
    </row>
    <row r="5" customFormat="false" ht="15" hidden="false" customHeight="false" outlineLevel="0" collapsed="false">
      <c r="A5" s="23" t="s">
        <v>53</v>
      </c>
      <c r="B5" s="24" t="s">
        <v>96</v>
      </c>
      <c r="C5" s="24" t="s">
        <v>100</v>
      </c>
      <c r="D5" s="42" t="n">
        <v>18800.5298958911</v>
      </c>
      <c r="E5" s="43" t="n">
        <v>23133.9085291844</v>
      </c>
      <c r="F5" s="70" t="n">
        <v>0.187317185413204</v>
      </c>
      <c r="G5" s="42" t="n">
        <v>16000</v>
      </c>
      <c r="H5" s="43" t="n">
        <v>20000</v>
      </c>
      <c r="I5" s="70" t="n">
        <v>0.2</v>
      </c>
      <c r="J5" s="71" t="n">
        <v>322.51179096358</v>
      </c>
      <c r="K5" s="72" t="n">
        <v>322.531060370758</v>
      </c>
      <c r="L5" s="73" t="b">
        <f aca="false">TRUE()</f>
        <v>1</v>
      </c>
      <c r="M5" s="108" t="n">
        <v>4532</v>
      </c>
      <c r="N5" s="109" t="n">
        <v>2213</v>
      </c>
      <c r="O5" s="109" t="n">
        <v>2319</v>
      </c>
      <c r="P5" s="109" t="n">
        <v>1203374</v>
      </c>
      <c r="Q5" s="109" t="n">
        <v>568155</v>
      </c>
      <c r="R5" s="110" t="n">
        <v>635219</v>
      </c>
    </row>
    <row r="6" customFormat="false" ht="15" hidden="false" customHeight="false" outlineLevel="0" collapsed="false">
      <c r="A6" s="23" t="s">
        <v>53</v>
      </c>
      <c r="B6" s="24" t="s">
        <v>96</v>
      </c>
      <c r="C6" s="24" t="s">
        <v>101</v>
      </c>
      <c r="D6" s="130" t="n">
        <v>13865.6814931651</v>
      </c>
      <c r="E6" s="131" t="n">
        <v>15977.9108524031</v>
      </c>
      <c r="F6" s="132" t="n">
        <v>0.132196842174793</v>
      </c>
      <c r="G6" s="42" t="n">
        <v>12900</v>
      </c>
      <c r="H6" s="43" t="n">
        <v>14000</v>
      </c>
      <c r="I6" s="70" t="n">
        <v>0.0785714285714286</v>
      </c>
      <c r="J6" s="71" t="n">
        <v>322.428165573219</v>
      </c>
      <c r="K6" s="72" t="n">
        <v>322.566585656424</v>
      </c>
      <c r="L6" s="73" t="b">
        <f aca="false">TRUE()</f>
        <v>1</v>
      </c>
      <c r="M6" s="133" t="n">
        <v>4673</v>
      </c>
      <c r="N6" s="134" t="n">
        <v>1491</v>
      </c>
      <c r="O6" s="134" t="n">
        <v>3182</v>
      </c>
      <c r="P6" s="134" t="n">
        <v>1202495</v>
      </c>
      <c r="Q6" s="134" t="n">
        <v>389910</v>
      </c>
      <c r="R6" s="135" t="n">
        <v>812585</v>
      </c>
    </row>
    <row r="7" customFormat="false" ht="15" hidden="false" customHeight="false" outlineLevel="0" collapsed="false">
      <c r="A7" s="23" t="s">
        <v>53</v>
      </c>
      <c r="B7" s="24" t="s">
        <v>96</v>
      </c>
      <c r="C7" s="24" t="s">
        <v>102</v>
      </c>
      <c r="D7" s="42" t="n">
        <v>13096.9894992756</v>
      </c>
      <c r="E7" s="43" t="n">
        <v>16701.9944193402</v>
      </c>
      <c r="F7" s="70" t="n">
        <v>0.215842780781327</v>
      </c>
      <c r="G7" s="42" t="n">
        <v>11000</v>
      </c>
      <c r="H7" s="43" t="n">
        <v>14000</v>
      </c>
      <c r="I7" s="70" t="n">
        <v>0.214285714285714</v>
      </c>
      <c r="J7" s="71" t="n">
        <v>322.298065571518</v>
      </c>
      <c r="K7" s="72" t="n">
        <v>322.431525032664</v>
      </c>
      <c r="L7" s="73" t="b">
        <f aca="false">TRUE()</f>
        <v>1</v>
      </c>
      <c r="M7" s="108" t="n">
        <v>2581</v>
      </c>
      <c r="N7" s="109" t="n">
        <v>973</v>
      </c>
      <c r="O7" s="109" t="n">
        <v>1608</v>
      </c>
      <c r="P7" s="109" t="n">
        <v>656178</v>
      </c>
      <c r="Q7" s="109" t="n">
        <v>261601</v>
      </c>
      <c r="R7" s="110" t="n">
        <v>394577</v>
      </c>
    </row>
    <row r="8" customFormat="false" ht="15" hidden="false" customHeight="false" outlineLevel="0" collapsed="false">
      <c r="A8" s="23" t="s">
        <v>53</v>
      </c>
      <c r="B8" s="24" t="s">
        <v>96</v>
      </c>
      <c r="C8" s="24" t="s">
        <v>103</v>
      </c>
      <c r="D8" s="130" t="n">
        <v>11014.6335051468</v>
      </c>
      <c r="E8" s="131" t="n">
        <v>12929.0932414245</v>
      </c>
      <c r="F8" s="132" t="n">
        <v>0.148073782169336</v>
      </c>
      <c r="G8" s="42" t="n">
        <v>9890</v>
      </c>
      <c r="H8" s="131" t="n">
        <v>11739</v>
      </c>
      <c r="I8" s="132" t="n">
        <v>0.157509157509158</v>
      </c>
      <c r="J8" s="136" t="n">
        <v>322.431549660405</v>
      </c>
      <c r="K8" s="137" t="n">
        <v>322.588752723715</v>
      </c>
      <c r="L8" s="73" t="b">
        <f aca="false">TRUE()</f>
        <v>1</v>
      </c>
      <c r="M8" s="133" t="n">
        <v>4898</v>
      </c>
      <c r="N8" s="134" t="n">
        <v>1454</v>
      </c>
      <c r="O8" s="134" t="n">
        <v>3444</v>
      </c>
      <c r="P8" s="134" t="n">
        <v>1376892</v>
      </c>
      <c r="Q8" s="134" t="n">
        <v>394614</v>
      </c>
      <c r="R8" s="135" t="n">
        <v>982278</v>
      </c>
    </row>
    <row r="9" customFormat="false" ht="15" hidden="false" customHeight="false" outlineLevel="0" collapsed="false">
      <c r="A9" s="23" t="s">
        <v>53</v>
      </c>
      <c r="B9" s="24" t="s">
        <v>96</v>
      </c>
      <c r="C9" s="24" t="s">
        <v>104</v>
      </c>
      <c r="D9" s="130" t="n">
        <v>11870.4674487512</v>
      </c>
      <c r="E9" s="131" t="n">
        <v>13373.0913557704</v>
      </c>
      <c r="F9" s="132" t="n">
        <v>0.112361746962178</v>
      </c>
      <c r="G9" s="130" t="n">
        <v>10320</v>
      </c>
      <c r="H9" s="43" t="n">
        <v>12000</v>
      </c>
      <c r="I9" s="132" t="n">
        <v>0.14</v>
      </c>
      <c r="J9" s="136" t="n">
        <v>322.60606175653</v>
      </c>
      <c r="K9" s="137" t="n">
        <v>322.649847509866</v>
      </c>
      <c r="L9" s="73" t="b">
        <f aca="false">TRUE()</f>
        <v>1</v>
      </c>
      <c r="M9" s="133" t="n">
        <v>13977</v>
      </c>
      <c r="N9" s="134" t="n">
        <v>4785</v>
      </c>
      <c r="O9" s="134" t="n">
        <v>9192</v>
      </c>
      <c r="P9" s="134" t="n">
        <v>3504525</v>
      </c>
      <c r="Q9" s="134" t="n">
        <v>1174809</v>
      </c>
      <c r="R9" s="135" t="n">
        <v>2329716</v>
      </c>
    </row>
    <row r="10" customFormat="false" ht="15" hidden="false" customHeight="false" outlineLevel="0" collapsed="false">
      <c r="A10" s="23" t="s">
        <v>53</v>
      </c>
      <c r="B10" s="24" t="s">
        <v>96</v>
      </c>
      <c r="C10" s="24" t="s">
        <v>105</v>
      </c>
      <c r="D10" s="130" t="n">
        <v>9735.03133170102</v>
      </c>
      <c r="E10" s="131" t="n">
        <v>10815.0799124832</v>
      </c>
      <c r="F10" s="132" t="n">
        <v>0.0998650578194565</v>
      </c>
      <c r="G10" s="130" t="n">
        <v>8600</v>
      </c>
      <c r="H10" s="131" t="n">
        <v>9890</v>
      </c>
      <c r="I10" s="132" t="n">
        <v>0.130434782608696</v>
      </c>
      <c r="J10" s="136" t="n">
        <v>322.630130099088</v>
      </c>
      <c r="K10" s="137" t="n">
        <v>322.637557508082</v>
      </c>
      <c r="L10" s="73" t="b">
        <f aca="false">TRUE()</f>
        <v>1</v>
      </c>
      <c r="M10" s="133" t="n">
        <v>12826</v>
      </c>
      <c r="N10" s="134" t="n">
        <v>6159</v>
      </c>
      <c r="O10" s="134" t="n">
        <v>6667</v>
      </c>
      <c r="P10" s="134" t="n">
        <v>3440817</v>
      </c>
      <c r="Q10" s="134" t="n">
        <v>1614882</v>
      </c>
      <c r="R10" s="135" t="n">
        <v>1825935</v>
      </c>
    </row>
    <row r="11" customFormat="false" ht="15" hidden="false" customHeight="false" outlineLevel="0" collapsed="false">
      <c r="A11" s="111" t="s">
        <v>53</v>
      </c>
      <c r="B11" s="112" t="s">
        <v>97</v>
      </c>
      <c r="C11" s="112" t="s">
        <v>98</v>
      </c>
      <c r="D11" s="113" t="n">
        <v>17218.8168348886</v>
      </c>
      <c r="E11" s="114" t="n">
        <v>16377.3802658318</v>
      </c>
      <c r="F11" s="115" t="n">
        <v>-0.0513779710429183</v>
      </c>
      <c r="G11" s="113" t="n">
        <v>10000</v>
      </c>
      <c r="H11" s="114" t="n">
        <v>13000</v>
      </c>
      <c r="I11" s="115" t="n">
        <v>0.230769230769231</v>
      </c>
      <c r="J11" s="116" t="n">
        <v>318.788384457625</v>
      </c>
      <c r="K11" s="117" t="n">
        <v>319.868565805578</v>
      </c>
      <c r="L11" s="138" t="b">
        <f aca="false">FALSE()</f>
        <v>0</v>
      </c>
      <c r="M11" s="119" t="n">
        <v>213</v>
      </c>
      <c r="N11" s="120" t="n">
        <v>90</v>
      </c>
      <c r="O11" s="120" t="n">
        <v>123</v>
      </c>
      <c r="P11" s="120" t="n">
        <v>62669</v>
      </c>
      <c r="Q11" s="120" t="n">
        <v>26255</v>
      </c>
      <c r="R11" s="121" t="n">
        <v>36414</v>
      </c>
    </row>
    <row r="12" customFormat="false" ht="15" hidden="false" customHeight="false" outlineLevel="0" collapsed="false">
      <c r="A12" s="23" t="s">
        <v>53</v>
      </c>
      <c r="B12" s="24" t="s">
        <v>97</v>
      </c>
      <c r="C12" s="24" t="s">
        <v>99</v>
      </c>
      <c r="D12" s="42" t="n">
        <v>12410.8682952735</v>
      </c>
      <c r="E12" s="43" t="n">
        <v>16064.5225773719</v>
      </c>
      <c r="F12" s="70" t="n">
        <v>0.227436219439527</v>
      </c>
      <c r="G12" s="42" t="n">
        <v>10000</v>
      </c>
      <c r="H12" s="43" t="n">
        <v>12000</v>
      </c>
      <c r="I12" s="70" t="n">
        <v>0.166666666666667</v>
      </c>
      <c r="J12" s="71" t="n">
        <v>309.476546579149</v>
      </c>
      <c r="K12" s="72" t="n">
        <v>317.512163324536</v>
      </c>
      <c r="L12" s="128" t="b">
        <f aca="false">FALSE()</f>
        <v>0</v>
      </c>
      <c r="M12" s="108" t="n">
        <v>118</v>
      </c>
      <c r="N12" s="109" t="n">
        <v>39</v>
      </c>
      <c r="O12" s="109" t="n">
        <v>79</v>
      </c>
      <c r="P12" s="109" t="n">
        <v>27242</v>
      </c>
      <c r="Q12" s="109" t="n">
        <v>7532</v>
      </c>
      <c r="R12" s="110" t="n">
        <v>19710</v>
      </c>
    </row>
    <row r="13" customFormat="false" ht="15" hidden="false" customHeight="false" outlineLevel="0" collapsed="false">
      <c r="A13" s="23" t="s">
        <v>53</v>
      </c>
      <c r="B13" s="24" t="s">
        <v>97</v>
      </c>
      <c r="C13" s="24" t="s">
        <v>100</v>
      </c>
      <c r="D13" s="42" t="n">
        <v>12345.2384726013</v>
      </c>
      <c r="E13" s="43" t="n">
        <v>15595.361302609</v>
      </c>
      <c r="F13" s="70" t="n">
        <v>0.208403176235742</v>
      </c>
      <c r="G13" s="42" t="n">
        <v>10320</v>
      </c>
      <c r="H13" s="43" t="n">
        <v>12800</v>
      </c>
      <c r="I13" s="70" t="n">
        <v>0.19375</v>
      </c>
      <c r="J13" s="71" t="n">
        <v>321.681972138398</v>
      </c>
      <c r="K13" s="72" t="n">
        <v>321.708949917935</v>
      </c>
      <c r="L13" s="73" t="b">
        <f aca="false">TRUE()</f>
        <v>1</v>
      </c>
      <c r="M13" s="108" t="n">
        <v>832</v>
      </c>
      <c r="N13" s="109" t="n">
        <v>410</v>
      </c>
      <c r="O13" s="109" t="n">
        <v>422</v>
      </c>
      <c r="P13" s="109" t="n">
        <v>207233</v>
      </c>
      <c r="Q13" s="109" t="n">
        <v>102213</v>
      </c>
      <c r="R13" s="110" t="n">
        <v>105020</v>
      </c>
    </row>
    <row r="14" customFormat="false" ht="15" hidden="false" customHeight="false" outlineLevel="0" collapsed="false">
      <c r="A14" s="23" t="s">
        <v>53</v>
      </c>
      <c r="B14" s="24" t="s">
        <v>97</v>
      </c>
      <c r="C14" s="24" t="s">
        <v>101</v>
      </c>
      <c r="D14" s="42" t="n">
        <v>10358.0630341308</v>
      </c>
      <c r="E14" s="43" t="n">
        <v>11917.1860488741</v>
      </c>
      <c r="F14" s="70" t="n">
        <v>0.130829795586729</v>
      </c>
      <c r="G14" s="42" t="n">
        <v>8000</v>
      </c>
      <c r="H14" s="43" t="n">
        <v>10750</v>
      </c>
      <c r="I14" s="70" t="n">
        <v>0.255813953488372</v>
      </c>
      <c r="J14" s="71" t="n">
        <v>321.770994346343</v>
      </c>
      <c r="K14" s="72" t="n">
        <v>322.449344226866</v>
      </c>
      <c r="L14" s="73" t="b">
        <f aca="false">TRUE()</f>
        <v>1</v>
      </c>
      <c r="M14" s="108" t="n">
        <v>1964</v>
      </c>
      <c r="N14" s="109" t="n">
        <v>411</v>
      </c>
      <c r="O14" s="109" t="n">
        <v>1553</v>
      </c>
      <c r="P14" s="109" t="n">
        <v>535390</v>
      </c>
      <c r="Q14" s="109" t="n">
        <v>112098</v>
      </c>
      <c r="R14" s="110" t="n">
        <v>423292</v>
      </c>
    </row>
    <row r="15" customFormat="false" ht="15" hidden="false" customHeight="false" outlineLevel="0" collapsed="false">
      <c r="A15" s="23" t="s">
        <v>53</v>
      </c>
      <c r="B15" s="24" t="s">
        <v>97</v>
      </c>
      <c r="C15" s="24" t="s">
        <v>102</v>
      </c>
      <c r="D15" s="42" t="n">
        <v>8481.57594538759</v>
      </c>
      <c r="E15" s="43" t="n">
        <v>15534.6671970331</v>
      </c>
      <c r="F15" s="70" t="n">
        <v>0.454022681154867</v>
      </c>
      <c r="G15" s="42" t="n">
        <v>8300</v>
      </c>
      <c r="H15" s="43" t="n">
        <v>12900</v>
      </c>
      <c r="I15" s="70" t="n">
        <v>0.356589147286822</v>
      </c>
      <c r="J15" s="71" t="n">
        <v>320.840227638087</v>
      </c>
      <c r="K15" s="72" t="n">
        <v>321.457278259894</v>
      </c>
      <c r="L15" s="128" t="b">
        <f aca="false">FALSE()</f>
        <v>0</v>
      </c>
      <c r="M15" s="108" t="n">
        <v>431</v>
      </c>
      <c r="N15" s="109" t="n">
        <v>157</v>
      </c>
      <c r="O15" s="109" t="n">
        <v>274</v>
      </c>
      <c r="P15" s="109" t="n">
        <v>139255</v>
      </c>
      <c r="Q15" s="109" t="n">
        <v>55665</v>
      </c>
      <c r="R15" s="110" t="n">
        <v>83590</v>
      </c>
    </row>
    <row r="16" customFormat="false" ht="15" hidden="false" customHeight="false" outlineLevel="0" collapsed="false">
      <c r="A16" s="23" t="s">
        <v>53</v>
      </c>
      <c r="B16" s="24" t="s">
        <v>97</v>
      </c>
      <c r="C16" s="24" t="s">
        <v>103</v>
      </c>
      <c r="D16" s="130" t="n">
        <v>9412.95685795127</v>
      </c>
      <c r="E16" s="131" t="n">
        <v>11557.0894099884</v>
      </c>
      <c r="F16" s="132" t="n">
        <v>0.18552530624052</v>
      </c>
      <c r="G16" s="130" t="n">
        <v>7740</v>
      </c>
      <c r="H16" s="43" t="n">
        <v>8600</v>
      </c>
      <c r="I16" s="132" t="n">
        <v>0.1</v>
      </c>
      <c r="J16" s="136" t="n">
        <v>321.274842303793</v>
      </c>
      <c r="K16" s="137" t="n">
        <v>322.205350214376</v>
      </c>
      <c r="L16" s="128" t="b">
        <f aca="false">FALSE()</f>
        <v>0</v>
      </c>
      <c r="M16" s="108" t="n">
        <v>873</v>
      </c>
      <c r="N16" s="134" t="n">
        <v>214</v>
      </c>
      <c r="O16" s="134" t="n">
        <v>659</v>
      </c>
      <c r="P16" s="134" t="n">
        <v>284751</v>
      </c>
      <c r="Q16" s="134" t="n">
        <v>72806</v>
      </c>
      <c r="R16" s="135" t="n">
        <v>211945</v>
      </c>
    </row>
    <row r="17" customFormat="false" ht="15" hidden="false" customHeight="false" outlineLevel="0" collapsed="false">
      <c r="A17" s="23" t="s">
        <v>53</v>
      </c>
      <c r="B17" s="24" t="s">
        <v>97</v>
      </c>
      <c r="C17" s="24" t="s">
        <v>104</v>
      </c>
      <c r="D17" s="130" t="n">
        <v>7605.16735432943</v>
      </c>
      <c r="E17" s="131" t="n">
        <v>11633.5495352279</v>
      </c>
      <c r="F17" s="132" t="n">
        <v>0.346272835191016</v>
      </c>
      <c r="G17" s="42" t="n">
        <v>6450</v>
      </c>
      <c r="H17" s="43" t="n">
        <v>10750</v>
      </c>
      <c r="I17" s="70" t="n">
        <v>0.4</v>
      </c>
      <c r="J17" s="136" t="n">
        <v>322.58883458904</v>
      </c>
      <c r="K17" s="137" t="n">
        <v>322.657344945987</v>
      </c>
      <c r="L17" s="73" t="b">
        <f aca="false">TRUE()</f>
        <v>1</v>
      </c>
      <c r="M17" s="133" t="n">
        <v>12124</v>
      </c>
      <c r="N17" s="134" t="n">
        <v>2990</v>
      </c>
      <c r="O17" s="134" t="n">
        <v>9134</v>
      </c>
      <c r="P17" s="134" t="n">
        <v>3784198</v>
      </c>
      <c r="Q17" s="134" t="n">
        <v>983040</v>
      </c>
      <c r="R17" s="135" t="n">
        <v>2801158</v>
      </c>
    </row>
    <row r="18" customFormat="false" ht="15" hidden="false" customHeight="false" outlineLevel="0" collapsed="false">
      <c r="A18" s="29" t="s">
        <v>53</v>
      </c>
      <c r="B18" s="30" t="s">
        <v>97</v>
      </c>
      <c r="C18" s="30" t="s">
        <v>105</v>
      </c>
      <c r="D18" s="139" t="n">
        <v>7358.38121465114</v>
      </c>
      <c r="E18" s="140" t="n">
        <v>7985.02317017575</v>
      </c>
      <c r="F18" s="141" t="n">
        <v>0.0784771618278</v>
      </c>
      <c r="G18" s="48" t="n">
        <v>6450</v>
      </c>
      <c r="H18" s="49" t="n">
        <v>7740</v>
      </c>
      <c r="I18" s="62" t="n">
        <v>0.166666666666667</v>
      </c>
      <c r="J18" s="142" t="n">
        <v>322.652953426689</v>
      </c>
      <c r="K18" s="146" t="n">
        <v>322.671146376569</v>
      </c>
      <c r="L18" s="65" t="b">
        <f aca="false">TRUE()</f>
        <v>1</v>
      </c>
      <c r="M18" s="143" t="n">
        <v>20995</v>
      </c>
      <c r="N18" s="144" t="n">
        <v>8006</v>
      </c>
      <c r="O18" s="144" t="n">
        <v>12989</v>
      </c>
      <c r="P18" s="144" t="n">
        <v>6968209</v>
      </c>
      <c r="Q18" s="144" t="n">
        <v>2504324</v>
      </c>
      <c r="R18" s="145" t="n">
        <v>4463885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D1:F1"/>
    <mergeCell ref="G1:I1"/>
    <mergeCell ref="J1:L1"/>
    <mergeCell ref="M1:R1"/>
  </mergeCells>
  <hyperlinks>
    <hyperlink ref="T1" location="'Índice'!A1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3" activeCellId="0" sqref="D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8" min="7" style="0" width="16"/>
    <col collapsed="false" customWidth="true" hidden="false" outlineLevel="0" max="9" min="9" style="0" width="17"/>
    <col collapsed="false" customWidth="true" hidden="false" outlineLevel="0" max="11" min="10" style="0" width="13"/>
    <col collapsed="false" customWidth="true" hidden="false" outlineLevel="0" max="18" min="12" style="0" width="12"/>
    <col collapsed="false" customWidth="true" hidden="false" outlineLevel="0" max="19" min="19" style="0" width="8.71"/>
    <col collapsed="false" customWidth="true" hidden="false" outlineLevel="0" max="20" min="20" style="0" width="20"/>
    <col collapsed="false" customWidth="true" hidden="false" outlineLevel="0" max="26" min="21" style="0" width="8.71"/>
  </cols>
  <sheetData>
    <row r="1" customFormat="false" ht="15" hidden="false" customHeight="false" outlineLevel="0" collapsed="false">
      <c r="A1" s="56"/>
      <c r="B1" s="101" t="s">
        <v>17</v>
      </c>
      <c r="C1" s="101" t="s">
        <v>19</v>
      </c>
      <c r="D1" s="56" t="s">
        <v>36</v>
      </c>
      <c r="E1" s="56"/>
      <c r="F1" s="56"/>
      <c r="G1" s="56" t="s">
        <v>37</v>
      </c>
      <c r="H1" s="56"/>
      <c r="I1" s="56"/>
      <c r="J1" s="57" t="s">
        <v>38</v>
      </c>
      <c r="K1" s="57"/>
      <c r="L1" s="57"/>
      <c r="M1" s="106" t="s">
        <v>122</v>
      </c>
      <c r="N1" s="106"/>
      <c r="O1" s="106"/>
      <c r="P1" s="106"/>
      <c r="Q1" s="106"/>
      <c r="R1" s="106"/>
      <c r="T1" s="15" t="s">
        <v>39</v>
      </c>
    </row>
    <row r="2" customFormat="false" ht="15" hidden="false" customHeight="false" outlineLevel="0" collapsed="false">
      <c r="A2" s="16" t="s">
        <v>40</v>
      </c>
      <c r="B2" s="17" t="s">
        <v>123</v>
      </c>
      <c r="C2" s="17" t="s">
        <v>124</v>
      </c>
      <c r="D2" s="16" t="s">
        <v>43</v>
      </c>
      <c r="E2" s="17" t="s">
        <v>44</v>
      </c>
      <c r="F2" s="17" t="s">
        <v>45</v>
      </c>
      <c r="G2" s="16" t="s">
        <v>47</v>
      </c>
      <c r="H2" s="17" t="s">
        <v>48</v>
      </c>
      <c r="I2" s="17" t="s">
        <v>49</v>
      </c>
      <c r="J2" s="59" t="s">
        <v>50</v>
      </c>
      <c r="K2" s="60" t="s">
        <v>51</v>
      </c>
      <c r="L2" s="60" t="s">
        <v>52</v>
      </c>
      <c r="M2" s="59" t="s">
        <v>125</v>
      </c>
      <c r="N2" s="60" t="s">
        <v>126</v>
      </c>
      <c r="O2" s="60" t="s">
        <v>127</v>
      </c>
      <c r="P2" s="60" t="s">
        <v>128</v>
      </c>
      <c r="Q2" s="60" t="s">
        <v>129</v>
      </c>
      <c r="R2" s="107" t="s">
        <v>130</v>
      </c>
    </row>
    <row r="3" customFormat="false" ht="15" hidden="false" customHeight="false" outlineLevel="0" collapsed="false">
      <c r="A3" s="23" t="s">
        <v>53</v>
      </c>
      <c r="B3" s="24" t="s">
        <v>107</v>
      </c>
      <c r="C3" s="24" t="s">
        <v>113</v>
      </c>
      <c r="D3" s="42" t="n">
        <v>6373.97566341262</v>
      </c>
      <c r="E3" s="43" t="n">
        <v>7997.81321459316</v>
      </c>
      <c r="F3" s="70" t="n">
        <v>0.203035193197262</v>
      </c>
      <c r="G3" s="42" t="n">
        <v>6450</v>
      </c>
      <c r="H3" s="43" t="n">
        <v>7740</v>
      </c>
      <c r="I3" s="70" t="n">
        <v>0.166666666666667</v>
      </c>
      <c r="J3" s="71" t="n">
        <v>319.864791525071</v>
      </c>
      <c r="K3" s="72" t="n">
        <v>322.066304128019</v>
      </c>
      <c r="L3" s="128" t="b">
        <f aca="false">FALSE()</f>
        <v>0</v>
      </c>
      <c r="M3" s="108" t="n">
        <v>579</v>
      </c>
      <c r="N3" s="109" t="n">
        <v>102</v>
      </c>
      <c r="O3" s="109" t="n">
        <v>477</v>
      </c>
      <c r="P3" s="109" t="n">
        <v>201319</v>
      </c>
      <c r="Q3" s="109" t="n">
        <v>36365</v>
      </c>
      <c r="R3" s="110" t="n">
        <v>164954</v>
      </c>
    </row>
    <row r="4" customFormat="false" ht="15" hidden="false" customHeight="false" outlineLevel="0" collapsed="false">
      <c r="A4" s="23" t="s">
        <v>53</v>
      </c>
      <c r="B4" s="24" t="s">
        <v>107</v>
      </c>
      <c r="C4" s="24" t="s">
        <v>114</v>
      </c>
      <c r="D4" s="42" t="n">
        <v>7176.74394279005</v>
      </c>
      <c r="E4" s="43" t="n">
        <v>9530.75188856631</v>
      </c>
      <c r="F4" s="70" t="n">
        <v>0.246990790789578</v>
      </c>
      <c r="G4" s="42" t="n">
        <v>6500</v>
      </c>
      <c r="H4" s="43" t="n">
        <v>8600</v>
      </c>
      <c r="I4" s="70" t="n">
        <v>0.244186046511628</v>
      </c>
      <c r="J4" s="71" t="n">
        <v>321.467962418739</v>
      </c>
      <c r="K4" s="72" t="n">
        <v>322.382395874152</v>
      </c>
      <c r="L4" s="128" t="b">
        <f aca="false">FALSE()</f>
        <v>0</v>
      </c>
      <c r="M4" s="108" t="n">
        <v>1204</v>
      </c>
      <c r="N4" s="109" t="n">
        <v>243</v>
      </c>
      <c r="O4" s="109" t="n">
        <v>961</v>
      </c>
      <c r="P4" s="109" t="n">
        <v>416716</v>
      </c>
      <c r="Q4" s="109" t="n">
        <v>84321</v>
      </c>
      <c r="R4" s="110" t="n">
        <v>332395</v>
      </c>
    </row>
    <row r="5" customFormat="false" ht="15" hidden="false" customHeight="false" outlineLevel="0" collapsed="false">
      <c r="A5" s="23" t="s">
        <v>53</v>
      </c>
      <c r="B5" s="24" t="s">
        <v>107</v>
      </c>
      <c r="C5" s="24" t="s">
        <v>115</v>
      </c>
      <c r="D5" s="42" t="n">
        <v>7616.78098498233</v>
      </c>
      <c r="E5" s="43" t="n">
        <v>9725.09071622441</v>
      </c>
      <c r="F5" s="70" t="n">
        <v>0.21679075216489</v>
      </c>
      <c r="G5" s="42" t="n">
        <v>6880</v>
      </c>
      <c r="H5" s="43" t="n">
        <v>8600</v>
      </c>
      <c r="I5" s="70" t="n">
        <v>0.2</v>
      </c>
      <c r="J5" s="71" t="n">
        <v>322.122265895242</v>
      </c>
      <c r="K5" s="72" t="n">
        <v>322.494129441078</v>
      </c>
      <c r="L5" s="73" t="b">
        <f aca="false">TRUE()</f>
        <v>1</v>
      </c>
      <c r="M5" s="108" t="n">
        <v>2087</v>
      </c>
      <c r="N5" s="109" t="n">
        <v>565</v>
      </c>
      <c r="O5" s="109" t="n">
        <v>1522</v>
      </c>
      <c r="P5" s="109" t="n">
        <v>699142</v>
      </c>
      <c r="Q5" s="109" t="n">
        <v>181120</v>
      </c>
      <c r="R5" s="110" t="n">
        <v>518022</v>
      </c>
    </row>
    <row r="6" customFormat="false" ht="15" hidden="false" customHeight="false" outlineLevel="0" collapsed="false">
      <c r="A6" s="23" t="s">
        <v>53</v>
      </c>
      <c r="B6" s="24" t="s">
        <v>107</v>
      </c>
      <c r="C6" s="24" t="s">
        <v>116</v>
      </c>
      <c r="D6" s="42" t="n">
        <v>7693.2379951323</v>
      </c>
      <c r="E6" s="43" t="n">
        <v>9723.12010898023</v>
      </c>
      <c r="F6" s="70" t="n">
        <v>0.208768593938599</v>
      </c>
      <c r="G6" s="42" t="n">
        <v>7740</v>
      </c>
      <c r="H6" s="43" t="n">
        <v>9030</v>
      </c>
      <c r="I6" s="70" t="n">
        <v>0.142857142857143</v>
      </c>
      <c r="J6" s="71" t="n">
        <v>322.395322872534</v>
      </c>
      <c r="K6" s="72" t="n">
        <v>322.570345837613</v>
      </c>
      <c r="L6" s="73" t="b">
        <f aca="false">TRUE()</f>
        <v>1</v>
      </c>
      <c r="M6" s="108" t="n">
        <v>3598</v>
      </c>
      <c r="N6" s="109" t="n">
        <v>1135</v>
      </c>
      <c r="O6" s="109" t="n">
        <v>2463</v>
      </c>
      <c r="P6" s="109" t="n">
        <v>1183258</v>
      </c>
      <c r="Q6" s="109" t="n">
        <v>346776</v>
      </c>
      <c r="R6" s="110" t="n">
        <v>836482</v>
      </c>
    </row>
    <row r="7" customFormat="false" ht="15" hidden="false" customHeight="false" outlineLevel="0" collapsed="false">
      <c r="A7" s="23" t="s">
        <v>53</v>
      </c>
      <c r="B7" s="24" t="s">
        <v>107</v>
      </c>
      <c r="C7" s="24" t="s">
        <v>117</v>
      </c>
      <c r="D7" s="42" t="n">
        <v>7392.1885479203</v>
      </c>
      <c r="E7" s="43" t="n">
        <v>9676.79234611901</v>
      </c>
      <c r="F7" s="70" t="n">
        <v>0.236091022363932</v>
      </c>
      <c r="G7" s="42" t="n">
        <v>7000</v>
      </c>
      <c r="H7" s="43" t="n">
        <v>8600</v>
      </c>
      <c r="I7" s="70" t="n">
        <v>0.186046511627907</v>
      </c>
      <c r="J7" s="71" t="n">
        <v>322.418754119248</v>
      </c>
      <c r="K7" s="72" t="n">
        <v>322.573141522926</v>
      </c>
      <c r="L7" s="73" t="b">
        <f aca="false">TRUE()</f>
        <v>1</v>
      </c>
      <c r="M7" s="108" t="n">
        <v>3834</v>
      </c>
      <c r="N7" s="109" t="n">
        <v>1238</v>
      </c>
      <c r="O7" s="109" t="n">
        <v>2596</v>
      </c>
      <c r="P7" s="109" t="n">
        <v>1232056</v>
      </c>
      <c r="Q7" s="109" t="n">
        <v>376281</v>
      </c>
      <c r="R7" s="110" t="n">
        <v>855775</v>
      </c>
    </row>
    <row r="8" customFormat="false" ht="15" hidden="false" customHeight="false" outlineLevel="0" collapsed="false">
      <c r="A8" s="23" t="s">
        <v>53</v>
      </c>
      <c r="B8" s="24" t="s">
        <v>107</v>
      </c>
      <c r="C8" s="24" t="s">
        <v>118</v>
      </c>
      <c r="D8" s="42" t="n">
        <v>6547.1488683367</v>
      </c>
      <c r="E8" s="43" t="n">
        <v>8212.94048133213</v>
      </c>
      <c r="F8" s="70" t="n">
        <v>0.202825238631858</v>
      </c>
      <c r="G8" s="42" t="n">
        <v>6140</v>
      </c>
      <c r="H8" s="43" t="n">
        <v>7740</v>
      </c>
      <c r="I8" s="70" t="n">
        <v>0.20671834625323</v>
      </c>
      <c r="J8" s="71" t="n">
        <v>322.334278126265</v>
      </c>
      <c r="K8" s="72" t="n">
        <v>322.554787486458</v>
      </c>
      <c r="L8" s="73" t="b">
        <f aca="false">TRUE()</f>
        <v>1</v>
      </c>
      <c r="M8" s="108" t="n">
        <v>3034</v>
      </c>
      <c r="N8" s="109" t="n">
        <v>833</v>
      </c>
      <c r="O8" s="109" t="n">
        <v>2201</v>
      </c>
      <c r="P8" s="109" t="n">
        <v>1031168</v>
      </c>
      <c r="Q8" s="109" t="n">
        <v>287939</v>
      </c>
      <c r="R8" s="110" t="n">
        <v>743229</v>
      </c>
    </row>
    <row r="9" customFormat="false" ht="15" hidden="false" customHeight="false" outlineLevel="0" collapsed="false">
      <c r="A9" s="23" t="s">
        <v>53</v>
      </c>
      <c r="B9" s="24" t="s">
        <v>108</v>
      </c>
      <c r="C9" s="24" t="s">
        <v>113</v>
      </c>
      <c r="D9" s="42" t="n">
        <v>6782.51342138901</v>
      </c>
      <c r="E9" s="43" t="n">
        <v>7800.30051437055</v>
      </c>
      <c r="F9" s="70" t="n">
        <v>0.130480497656015</v>
      </c>
      <c r="G9" s="42" t="n">
        <v>6450</v>
      </c>
      <c r="H9" s="43" t="n">
        <v>7740</v>
      </c>
      <c r="I9" s="70" t="n">
        <v>0.166666666666667</v>
      </c>
      <c r="J9" s="71" t="n">
        <v>321.862014957797</v>
      </c>
      <c r="K9" s="72" t="n">
        <v>322.442370811809</v>
      </c>
      <c r="L9" s="73" t="b">
        <f aca="false">TRUE()</f>
        <v>1</v>
      </c>
      <c r="M9" s="108" t="n">
        <v>1712</v>
      </c>
      <c r="N9" s="109" t="n">
        <v>402</v>
      </c>
      <c r="O9" s="109" t="n">
        <v>1310</v>
      </c>
      <c r="P9" s="109" t="n">
        <v>535962</v>
      </c>
      <c r="Q9" s="109" t="n">
        <v>124391</v>
      </c>
      <c r="R9" s="110" t="n">
        <v>411571</v>
      </c>
    </row>
    <row r="10" customFormat="false" ht="15" hidden="false" customHeight="false" outlineLevel="0" collapsed="false">
      <c r="A10" s="23" t="s">
        <v>53</v>
      </c>
      <c r="B10" s="24" t="s">
        <v>108</v>
      </c>
      <c r="C10" s="24" t="s">
        <v>114</v>
      </c>
      <c r="D10" s="42" t="n">
        <v>8904.49153956204</v>
      </c>
      <c r="E10" s="43" t="n">
        <v>10153.3038660321</v>
      </c>
      <c r="F10" s="70" t="n">
        <v>0.122995661604094</v>
      </c>
      <c r="G10" s="42" t="n">
        <v>8000</v>
      </c>
      <c r="H10" s="43" t="n">
        <v>9030</v>
      </c>
      <c r="I10" s="70" t="n">
        <v>0.1140642303433</v>
      </c>
      <c r="J10" s="71" t="n">
        <v>322.452700297896</v>
      </c>
      <c r="K10" s="72" t="n">
        <v>322.593392137776</v>
      </c>
      <c r="L10" s="73" t="b">
        <f aca="false">TRUE()</f>
        <v>1</v>
      </c>
      <c r="M10" s="108" t="n">
        <v>4917</v>
      </c>
      <c r="N10" s="109" t="n">
        <v>1428</v>
      </c>
      <c r="O10" s="109" t="n">
        <v>3489</v>
      </c>
      <c r="P10" s="109" t="n">
        <v>1456584</v>
      </c>
      <c r="Q10" s="109" t="n">
        <v>429174</v>
      </c>
      <c r="R10" s="110" t="n">
        <v>1027410</v>
      </c>
    </row>
    <row r="11" customFormat="false" ht="15" hidden="false" customHeight="false" outlineLevel="0" collapsed="false">
      <c r="A11" s="23" t="s">
        <v>53</v>
      </c>
      <c r="B11" s="24" t="s">
        <v>108</v>
      </c>
      <c r="C11" s="24" t="s">
        <v>115</v>
      </c>
      <c r="D11" s="42" t="n">
        <v>8778.09249892523</v>
      </c>
      <c r="E11" s="43" t="n">
        <v>11287.7504146758</v>
      </c>
      <c r="F11" s="70" t="n">
        <v>0.222334639193265</v>
      </c>
      <c r="G11" s="42" t="n">
        <v>8000</v>
      </c>
      <c r="H11" s="43" t="n">
        <v>10320</v>
      </c>
      <c r="I11" s="70" t="n">
        <v>0.224806201550388</v>
      </c>
      <c r="J11" s="71" t="n">
        <v>322.533366636412</v>
      </c>
      <c r="K11" s="72" t="n">
        <v>322.610181141538</v>
      </c>
      <c r="L11" s="73" t="b">
        <f aca="false">TRUE()</f>
        <v>1</v>
      </c>
      <c r="M11" s="108" t="n">
        <v>6245</v>
      </c>
      <c r="N11" s="109" t="n">
        <v>2161</v>
      </c>
      <c r="O11" s="109" t="n">
        <v>4084</v>
      </c>
      <c r="P11" s="109" t="n">
        <v>1876609</v>
      </c>
      <c r="Q11" s="109" t="n">
        <v>644321</v>
      </c>
      <c r="R11" s="110" t="n">
        <v>1232288</v>
      </c>
    </row>
    <row r="12" customFormat="false" ht="15" hidden="false" customHeight="false" outlineLevel="0" collapsed="false">
      <c r="A12" s="23" t="s">
        <v>53</v>
      </c>
      <c r="B12" s="24" t="s">
        <v>108</v>
      </c>
      <c r="C12" s="24" t="s">
        <v>116</v>
      </c>
      <c r="D12" s="42" t="n">
        <v>9086.99956662416</v>
      </c>
      <c r="E12" s="43" t="n">
        <v>11548.4762698997</v>
      </c>
      <c r="F12" s="70" t="n">
        <v>0.213142984905393</v>
      </c>
      <c r="G12" s="42" t="n">
        <v>8600</v>
      </c>
      <c r="H12" s="43" t="n">
        <v>10750</v>
      </c>
      <c r="I12" s="70" t="n">
        <v>0.2</v>
      </c>
      <c r="J12" s="71" t="n">
        <v>322.533232130407</v>
      </c>
      <c r="K12" s="72" t="n">
        <v>322.601489403218</v>
      </c>
      <c r="L12" s="73" t="b">
        <f aca="false">TRUE()</f>
        <v>1</v>
      </c>
      <c r="M12" s="108" t="n">
        <v>6287</v>
      </c>
      <c r="N12" s="109" t="n">
        <v>2363</v>
      </c>
      <c r="O12" s="109" t="n">
        <v>3924</v>
      </c>
      <c r="P12" s="109" t="n">
        <v>1760761</v>
      </c>
      <c r="Q12" s="109" t="n">
        <v>643783</v>
      </c>
      <c r="R12" s="110" t="n">
        <v>1116978</v>
      </c>
    </row>
    <row r="13" customFormat="false" ht="15" hidden="false" customHeight="false" outlineLevel="0" collapsed="false">
      <c r="A13" s="23" t="s">
        <v>53</v>
      </c>
      <c r="B13" s="24" t="s">
        <v>108</v>
      </c>
      <c r="C13" s="24" t="s">
        <v>117</v>
      </c>
      <c r="D13" s="42" t="n">
        <v>8617.65116583115</v>
      </c>
      <c r="E13" s="43" t="n">
        <v>11368.6433318781</v>
      </c>
      <c r="F13" s="70" t="n">
        <v>0.241980690724374</v>
      </c>
      <c r="G13" s="42" t="n">
        <v>8170</v>
      </c>
      <c r="H13" s="43" t="n">
        <v>10500</v>
      </c>
      <c r="I13" s="70" t="n">
        <v>0.221904761904762</v>
      </c>
      <c r="J13" s="71" t="n">
        <v>322.472062729332</v>
      </c>
      <c r="K13" s="72" t="n">
        <v>322.576724982285</v>
      </c>
      <c r="L13" s="73" t="b">
        <f aca="false">TRUE()</f>
        <v>1</v>
      </c>
      <c r="M13" s="108" t="n">
        <v>4701</v>
      </c>
      <c r="N13" s="109" t="n">
        <v>1651</v>
      </c>
      <c r="O13" s="109" t="n">
        <v>3050</v>
      </c>
      <c r="P13" s="109" t="n">
        <v>1348422</v>
      </c>
      <c r="Q13" s="109" t="n">
        <v>466577</v>
      </c>
      <c r="R13" s="110" t="n">
        <v>881845</v>
      </c>
    </row>
    <row r="14" customFormat="false" ht="15" hidden="false" customHeight="false" outlineLevel="0" collapsed="false">
      <c r="A14" s="23" t="s">
        <v>53</v>
      </c>
      <c r="B14" s="24" t="s">
        <v>108</v>
      </c>
      <c r="C14" s="24" t="s">
        <v>118</v>
      </c>
      <c r="D14" s="42" t="n">
        <v>8363.91319526952</v>
      </c>
      <c r="E14" s="43" t="n">
        <v>10102.8217094337</v>
      </c>
      <c r="F14" s="70" t="n">
        <v>0.172121073119644</v>
      </c>
      <c r="G14" s="42" t="n">
        <v>7310</v>
      </c>
      <c r="H14" s="43" t="n">
        <v>9000</v>
      </c>
      <c r="I14" s="70" t="n">
        <v>0.187777777777778</v>
      </c>
      <c r="J14" s="71" t="n">
        <v>321.74844346204</v>
      </c>
      <c r="K14" s="72" t="n">
        <v>322.314256900153</v>
      </c>
      <c r="L14" s="73" t="b">
        <f aca="false">TRUE()</f>
        <v>1</v>
      </c>
      <c r="M14" s="108" t="n">
        <v>1324</v>
      </c>
      <c r="N14" s="109" t="n">
        <v>384</v>
      </c>
      <c r="O14" s="109" t="n">
        <v>940</v>
      </c>
      <c r="P14" s="109" t="n">
        <v>382175</v>
      </c>
      <c r="Q14" s="109" t="n">
        <v>109418</v>
      </c>
      <c r="R14" s="110" t="n">
        <v>272757</v>
      </c>
    </row>
    <row r="15" customFormat="false" ht="15" hidden="false" customHeight="false" outlineLevel="0" collapsed="false">
      <c r="A15" s="23" t="s">
        <v>53</v>
      </c>
      <c r="B15" s="24" t="s">
        <v>109</v>
      </c>
      <c r="C15" s="24" t="s">
        <v>113</v>
      </c>
      <c r="D15" s="42" t="n">
        <v>7459.51483222829</v>
      </c>
      <c r="E15" s="43" t="n">
        <v>8286.98024635806</v>
      </c>
      <c r="F15" s="70" t="n">
        <v>0.0998512593888976</v>
      </c>
      <c r="G15" s="42" t="n">
        <v>7525</v>
      </c>
      <c r="H15" s="43" t="n">
        <v>7740</v>
      </c>
      <c r="I15" s="70" t="n">
        <v>0.0277777777777778</v>
      </c>
      <c r="J15" s="71" t="n">
        <v>322.129836280505</v>
      </c>
      <c r="K15" s="72" t="n">
        <v>322.402721193676</v>
      </c>
      <c r="L15" s="73" t="b">
        <f aca="false">TRUE()</f>
        <v>1</v>
      </c>
      <c r="M15" s="108" t="n">
        <v>1759</v>
      </c>
      <c r="N15" s="109" t="n">
        <v>605</v>
      </c>
      <c r="O15" s="109" t="n">
        <v>1154</v>
      </c>
      <c r="P15" s="109" t="n">
        <v>539133</v>
      </c>
      <c r="Q15" s="109" t="n">
        <v>183553</v>
      </c>
      <c r="R15" s="110" t="n">
        <v>355580</v>
      </c>
    </row>
    <row r="16" customFormat="false" ht="15" hidden="false" customHeight="false" outlineLevel="0" collapsed="false">
      <c r="A16" s="23" t="s">
        <v>53</v>
      </c>
      <c r="B16" s="24" t="s">
        <v>109</v>
      </c>
      <c r="C16" s="24" t="s">
        <v>114</v>
      </c>
      <c r="D16" s="42" t="n">
        <v>8867.15454660561</v>
      </c>
      <c r="E16" s="43" t="n">
        <v>10994.1929040835</v>
      </c>
      <c r="F16" s="70" t="n">
        <v>0.193469259274851</v>
      </c>
      <c r="G16" s="42" t="n">
        <v>8400</v>
      </c>
      <c r="H16" s="43" t="n">
        <v>9460</v>
      </c>
      <c r="I16" s="70" t="n">
        <v>0.112050739957717</v>
      </c>
      <c r="J16" s="71" t="n">
        <v>322.557541585765</v>
      </c>
      <c r="K16" s="72" t="n">
        <v>322.613148136205</v>
      </c>
      <c r="L16" s="73" t="b">
        <f aca="false">TRUE()</f>
        <v>1</v>
      </c>
      <c r="M16" s="108" t="n">
        <v>7007</v>
      </c>
      <c r="N16" s="109" t="n">
        <v>2515</v>
      </c>
      <c r="O16" s="109" t="n">
        <v>4492</v>
      </c>
      <c r="P16" s="109" t="n">
        <v>2035490</v>
      </c>
      <c r="Q16" s="109" t="n">
        <v>758192</v>
      </c>
      <c r="R16" s="110" t="n">
        <v>1277298</v>
      </c>
    </row>
    <row r="17" customFormat="false" ht="15" hidden="false" customHeight="false" outlineLevel="0" collapsed="false">
      <c r="A17" s="23" t="s">
        <v>53</v>
      </c>
      <c r="B17" s="24" t="s">
        <v>109</v>
      </c>
      <c r="C17" s="24" t="s">
        <v>115</v>
      </c>
      <c r="D17" s="42" t="n">
        <v>10210.626590867</v>
      </c>
      <c r="E17" s="43" t="n">
        <v>12645.3196914557</v>
      </c>
      <c r="F17" s="70" t="n">
        <v>0.192537093564646</v>
      </c>
      <c r="G17" s="42" t="n">
        <v>9000</v>
      </c>
      <c r="H17" s="43" t="n">
        <v>10750</v>
      </c>
      <c r="I17" s="70" t="n">
        <v>0.162790697674419</v>
      </c>
      <c r="J17" s="71" t="n">
        <v>322.52875874326</v>
      </c>
      <c r="K17" s="72" t="n">
        <v>322.596455697615</v>
      </c>
      <c r="L17" s="73" t="b">
        <f aca="false">TRUE()</f>
        <v>1</v>
      </c>
      <c r="M17" s="108" t="n">
        <v>6033</v>
      </c>
      <c r="N17" s="109" t="n">
        <v>2241</v>
      </c>
      <c r="O17" s="109" t="n">
        <v>3792</v>
      </c>
      <c r="P17" s="109" t="n">
        <v>1685944</v>
      </c>
      <c r="Q17" s="109" t="n">
        <v>626388</v>
      </c>
      <c r="R17" s="110" t="n">
        <v>1059556</v>
      </c>
    </row>
    <row r="18" customFormat="false" ht="15" hidden="false" customHeight="false" outlineLevel="0" collapsed="false">
      <c r="A18" s="23" t="s">
        <v>53</v>
      </c>
      <c r="B18" s="24" t="s">
        <v>109</v>
      </c>
      <c r="C18" s="24" t="s">
        <v>116</v>
      </c>
      <c r="D18" s="42" t="n">
        <v>10007.5494334278</v>
      </c>
      <c r="E18" s="43" t="n">
        <v>13003.8324130914</v>
      </c>
      <c r="F18" s="70" t="n">
        <v>0.230415379442076</v>
      </c>
      <c r="G18" s="42" t="n">
        <v>8600</v>
      </c>
      <c r="H18" s="43" t="n">
        <v>12000</v>
      </c>
      <c r="I18" s="70" t="n">
        <v>0.283333333333333</v>
      </c>
      <c r="J18" s="71" t="n">
        <v>322.441084840961</v>
      </c>
      <c r="K18" s="72" t="n">
        <v>322.554559167431</v>
      </c>
      <c r="L18" s="73" t="b">
        <f aca="false">TRUE()</f>
        <v>1</v>
      </c>
      <c r="M18" s="108" t="n">
        <v>4225</v>
      </c>
      <c r="N18" s="109" t="n">
        <v>1548</v>
      </c>
      <c r="O18" s="109" t="n">
        <v>2677</v>
      </c>
      <c r="P18" s="109" t="n">
        <v>1151495</v>
      </c>
      <c r="Q18" s="109" t="n">
        <v>409480</v>
      </c>
      <c r="R18" s="110" t="n">
        <v>742015</v>
      </c>
    </row>
    <row r="19" customFormat="false" ht="15" hidden="false" customHeight="false" outlineLevel="0" collapsed="false">
      <c r="A19" s="23" t="s">
        <v>53</v>
      </c>
      <c r="B19" s="24" t="s">
        <v>109</v>
      </c>
      <c r="C19" s="24" t="s">
        <v>117</v>
      </c>
      <c r="D19" s="42" t="n">
        <v>10797.3039867033</v>
      </c>
      <c r="E19" s="43" t="n">
        <v>12969.9678756581</v>
      </c>
      <c r="F19" s="70" t="n">
        <v>0.16751497843201</v>
      </c>
      <c r="G19" s="42" t="n">
        <v>9675</v>
      </c>
      <c r="H19" s="43" t="n">
        <v>10750</v>
      </c>
      <c r="I19" s="70" t="n">
        <v>0.1</v>
      </c>
      <c r="J19" s="71" t="n">
        <v>322.218475504725</v>
      </c>
      <c r="K19" s="72" t="n">
        <v>322.486343743577</v>
      </c>
      <c r="L19" s="73" t="b">
        <f aca="false">TRUE()</f>
        <v>1</v>
      </c>
      <c r="M19" s="108" t="n">
        <v>2595</v>
      </c>
      <c r="N19" s="109" t="n">
        <v>834</v>
      </c>
      <c r="O19" s="109" t="n">
        <v>1761</v>
      </c>
      <c r="P19" s="109" t="n">
        <v>716424</v>
      </c>
      <c r="Q19" s="109" t="n">
        <v>217799</v>
      </c>
      <c r="R19" s="110" t="n">
        <v>498625</v>
      </c>
    </row>
    <row r="20" customFormat="false" ht="15" hidden="false" customHeight="false" outlineLevel="0" collapsed="false">
      <c r="A20" s="23" t="s">
        <v>53</v>
      </c>
      <c r="B20" s="24" t="s">
        <v>109</v>
      </c>
      <c r="C20" s="24" t="s">
        <v>118</v>
      </c>
      <c r="D20" s="42" t="n">
        <v>9796.28149241231</v>
      </c>
      <c r="E20" s="43" t="n">
        <v>11761.3235664538</v>
      </c>
      <c r="F20" s="70" t="n">
        <v>0.167076610292935</v>
      </c>
      <c r="G20" s="42" t="n">
        <v>9030</v>
      </c>
      <c r="H20" s="43" t="n">
        <v>10320</v>
      </c>
      <c r="I20" s="70" t="n">
        <v>0.125</v>
      </c>
      <c r="J20" s="71" t="n">
        <v>320.637501508262</v>
      </c>
      <c r="K20" s="72" t="n">
        <v>322.042020844383</v>
      </c>
      <c r="L20" s="128" t="b">
        <f aca="false">FALSE()</f>
        <v>0</v>
      </c>
      <c r="M20" s="108" t="n">
        <v>698</v>
      </c>
      <c r="N20" s="109" t="n">
        <v>177</v>
      </c>
      <c r="O20" s="109" t="n">
        <v>521</v>
      </c>
      <c r="P20" s="109" t="n">
        <v>208949</v>
      </c>
      <c r="Q20" s="109" t="n">
        <v>50147</v>
      </c>
      <c r="R20" s="110" t="n">
        <v>158802</v>
      </c>
    </row>
    <row r="21" customFormat="false" ht="15.75" hidden="false" customHeight="true" outlineLevel="0" collapsed="false">
      <c r="A21" s="23" t="s">
        <v>53</v>
      </c>
      <c r="B21" s="24" t="s">
        <v>110</v>
      </c>
      <c r="C21" s="24" t="s">
        <v>113</v>
      </c>
      <c r="D21" s="42" t="n">
        <v>7701.08935611038</v>
      </c>
      <c r="E21" s="43" t="n">
        <v>10284.2133131619</v>
      </c>
      <c r="F21" s="70" t="n">
        <v>0.251173704628003</v>
      </c>
      <c r="G21" s="42" t="n">
        <v>8200</v>
      </c>
      <c r="H21" s="43" t="n">
        <v>10000</v>
      </c>
      <c r="I21" s="70" t="n">
        <v>0.18</v>
      </c>
      <c r="J21" s="71" t="n">
        <v>297.5389192861</v>
      </c>
      <c r="K21" s="72" t="n">
        <v>287.691136888548</v>
      </c>
      <c r="L21" s="128" t="b">
        <f aca="false">FALSE()</f>
        <v>0</v>
      </c>
      <c r="M21" s="108" t="n">
        <v>19</v>
      </c>
      <c r="N21" s="109" t="n">
        <v>11</v>
      </c>
      <c r="O21" s="109" t="n">
        <v>8</v>
      </c>
      <c r="P21" s="109" t="n">
        <v>6449</v>
      </c>
      <c r="Q21" s="109" t="n">
        <v>3805</v>
      </c>
      <c r="R21" s="110" t="n">
        <v>2644</v>
      </c>
    </row>
    <row r="22" customFormat="false" ht="15.75" hidden="false" customHeight="true" outlineLevel="0" collapsed="false">
      <c r="A22" s="23" t="s">
        <v>53</v>
      </c>
      <c r="B22" s="24" t="s">
        <v>110</v>
      </c>
      <c r="C22" s="24" t="s">
        <v>114</v>
      </c>
      <c r="D22" s="42" t="n">
        <v>9835.7460886242</v>
      </c>
      <c r="E22" s="43" t="n">
        <v>13149.9687856955</v>
      </c>
      <c r="F22" s="70" t="n">
        <v>0.252032742516961</v>
      </c>
      <c r="G22" s="42" t="n">
        <v>9460</v>
      </c>
      <c r="H22" s="43" t="n">
        <v>10750</v>
      </c>
      <c r="I22" s="70" t="n">
        <v>0.12</v>
      </c>
      <c r="J22" s="71" t="n">
        <v>320.095907497105</v>
      </c>
      <c r="K22" s="72" t="n">
        <v>320.430087445682</v>
      </c>
      <c r="L22" s="128" t="b">
        <f aca="false">FALSE()</f>
        <v>0</v>
      </c>
      <c r="M22" s="108" t="n">
        <v>246</v>
      </c>
      <c r="N22" s="109" t="n">
        <v>98</v>
      </c>
      <c r="O22" s="109" t="n">
        <v>148</v>
      </c>
      <c r="P22" s="109" t="n">
        <v>85152</v>
      </c>
      <c r="Q22" s="109" t="n">
        <v>39628</v>
      </c>
      <c r="R22" s="110" t="n">
        <v>45524</v>
      </c>
    </row>
    <row r="23" customFormat="false" ht="15.75" hidden="false" customHeight="true" outlineLevel="0" collapsed="false">
      <c r="A23" s="23" t="s">
        <v>53</v>
      </c>
      <c r="B23" s="24" t="s">
        <v>110</v>
      </c>
      <c r="C23" s="24" t="s">
        <v>115</v>
      </c>
      <c r="D23" s="42" t="n">
        <v>10847.857640942</v>
      </c>
      <c r="E23" s="43" t="n">
        <v>13963.7048494048</v>
      </c>
      <c r="F23" s="70" t="n">
        <v>0.223139005161343</v>
      </c>
      <c r="G23" s="42" t="n">
        <v>10000</v>
      </c>
      <c r="H23" s="43" t="n">
        <v>12900</v>
      </c>
      <c r="I23" s="70" t="n">
        <v>0.224806201550388</v>
      </c>
      <c r="J23" s="71" t="n">
        <v>320.591585893181</v>
      </c>
      <c r="K23" s="72" t="n">
        <v>321.044194367969</v>
      </c>
      <c r="L23" s="128" t="b">
        <f aca="false">FALSE()</f>
        <v>0</v>
      </c>
      <c r="M23" s="108" t="n">
        <v>384</v>
      </c>
      <c r="N23" s="109" t="n">
        <v>169</v>
      </c>
      <c r="O23" s="109" t="n">
        <v>215</v>
      </c>
      <c r="P23" s="109" t="n">
        <v>111630</v>
      </c>
      <c r="Q23" s="109" t="n">
        <v>49045</v>
      </c>
      <c r="R23" s="110" t="n">
        <v>62585</v>
      </c>
    </row>
    <row r="24" customFormat="false" ht="15.75" hidden="false" customHeight="true" outlineLevel="0" collapsed="false">
      <c r="A24" s="23" t="s">
        <v>53</v>
      </c>
      <c r="B24" s="24" t="s">
        <v>110</v>
      </c>
      <c r="C24" s="24" t="s">
        <v>116</v>
      </c>
      <c r="D24" s="42" t="n">
        <v>12206.2523453134</v>
      </c>
      <c r="E24" s="43" t="n">
        <v>14355.5257692248</v>
      </c>
      <c r="F24" s="70" t="n">
        <v>0.149717499620878</v>
      </c>
      <c r="G24" s="42" t="n">
        <v>10000</v>
      </c>
      <c r="H24" s="43" t="n">
        <v>12000</v>
      </c>
      <c r="I24" s="70" t="n">
        <v>0.166666666666667</v>
      </c>
      <c r="J24" s="71" t="n">
        <v>321.498040075613</v>
      </c>
      <c r="K24" s="72" t="n">
        <v>321.102840509437</v>
      </c>
      <c r="L24" s="128" t="b">
        <f aca="false">FALSE()</f>
        <v>0</v>
      </c>
      <c r="M24" s="108" t="n">
        <v>538</v>
      </c>
      <c r="N24" s="109" t="n">
        <v>294</v>
      </c>
      <c r="O24" s="109" t="n">
        <v>244</v>
      </c>
      <c r="P24" s="109" t="n">
        <v>151352</v>
      </c>
      <c r="Q24" s="109" t="n">
        <v>86449</v>
      </c>
      <c r="R24" s="110" t="n">
        <v>64903</v>
      </c>
    </row>
    <row r="25" customFormat="false" ht="15.75" hidden="false" customHeight="true" outlineLevel="0" collapsed="false">
      <c r="A25" s="23" t="s">
        <v>53</v>
      </c>
      <c r="B25" s="24" t="s">
        <v>110</v>
      </c>
      <c r="C25" s="24" t="s">
        <v>117</v>
      </c>
      <c r="D25" s="42" t="n">
        <v>10904.0443619939</v>
      </c>
      <c r="E25" s="43" t="n">
        <v>13677.4281484189</v>
      </c>
      <c r="F25" s="70" t="n">
        <v>0.202770854018024</v>
      </c>
      <c r="G25" s="42" t="n">
        <v>10000</v>
      </c>
      <c r="H25" s="43" t="n">
        <v>12000</v>
      </c>
      <c r="I25" s="70" t="n">
        <v>0.166666666666667</v>
      </c>
      <c r="J25" s="71" t="n">
        <v>321.766736423315</v>
      </c>
      <c r="K25" s="72" t="n">
        <v>321.434378801827</v>
      </c>
      <c r="L25" s="128" t="b">
        <f aca="false">FALSE()</f>
        <v>0</v>
      </c>
      <c r="M25" s="108" t="n">
        <v>727</v>
      </c>
      <c r="N25" s="109" t="n">
        <v>461</v>
      </c>
      <c r="O25" s="109" t="n">
        <v>266</v>
      </c>
      <c r="P25" s="109" t="n">
        <v>193647</v>
      </c>
      <c r="Q25" s="109" t="n">
        <v>111582</v>
      </c>
      <c r="R25" s="110" t="n">
        <v>82065</v>
      </c>
    </row>
    <row r="26" customFormat="false" ht="15.75" hidden="false" customHeight="true" outlineLevel="0" collapsed="false">
      <c r="A26" s="23" t="s">
        <v>53</v>
      </c>
      <c r="B26" s="24" t="s">
        <v>110</v>
      </c>
      <c r="C26" s="24" t="s">
        <v>118</v>
      </c>
      <c r="D26" s="42" t="n">
        <v>9576.37747686516</v>
      </c>
      <c r="E26" s="43" t="n">
        <v>12284.7157438122</v>
      </c>
      <c r="F26" s="70" t="n">
        <v>0.220464056590908</v>
      </c>
      <c r="G26" s="42" t="n">
        <v>8000</v>
      </c>
      <c r="H26" s="43" t="n">
        <v>10750</v>
      </c>
      <c r="I26" s="70" t="n">
        <v>0.255813953488372</v>
      </c>
      <c r="J26" s="71" t="n">
        <v>320.003353655767</v>
      </c>
      <c r="K26" s="72" t="n">
        <v>318.954168531576</v>
      </c>
      <c r="L26" s="128" t="b">
        <f aca="false">FALSE()</f>
        <v>0</v>
      </c>
      <c r="M26" s="108" t="n">
        <v>246</v>
      </c>
      <c r="N26" s="109" t="n">
        <v>142</v>
      </c>
      <c r="O26" s="109" t="n">
        <v>104</v>
      </c>
      <c r="P26" s="109" t="n">
        <v>65687</v>
      </c>
      <c r="Q26" s="109" t="n">
        <v>38254</v>
      </c>
      <c r="R26" s="110" t="n">
        <v>27433</v>
      </c>
    </row>
    <row r="27" customFormat="false" ht="15.75" hidden="false" customHeight="true" outlineLevel="0" collapsed="false">
      <c r="A27" s="23" t="s">
        <v>53</v>
      </c>
      <c r="B27" s="24" t="s">
        <v>111</v>
      </c>
      <c r="C27" s="24" t="s">
        <v>113</v>
      </c>
      <c r="D27" s="42" t="n">
        <v>8133.87340088016</v>
      </c>
      <c r="E27" s="43" t="n">
        <v>9137.56447492268</v>
      </c>
      <c r="F27" s="70" t="n">
        <v>0.109842297342698</v>
      </c>
      <c r="G27" s="42" t="n">
        <v>7740</v>
      </c>
      <c r="H27" s="43" t="n">
        <v>8600</v>
      </c>
      <c r="I27" s="70" t="n">
        <v>0.1</v>
      </c>
      <c r="J27" s="71" t="n">
        <v>317.468333826159</v>
      </c>
      <c r="K27" s="72" t="n">
        <v>315.862926645853</v>
      </c>
      <c r="L27" s="128" t="b">
        <f aca="false">FALSE()</f>
        <v>0</v>
      </c>
      <c r="M27" s="108" t="n">
        <v>131</v>
      </c>
      <c r="N27" s="109" t="n">
        <v>72</v>
      </c>
      <c r="O27" s="109" t="n">
        <v>59</v>
      </c>
      <c r="P27" s="109" t="n">
        <v>34416</v>
      </c>
      <c r="Q27" s="109" t="n">
        <v>19542</v>
      </c>
      <c r="R27" s="110" t="n">
        <v>14874</v>
      </c>
    </row>
    <row r="28" customFormat="false" ht="15.75" hidden="false" customHeight="true" outlineLevel="0" collapsed="false">
      <c r="A28" s="23" t="s">
        <v>53</v>
      </c>
      <c r="B28" s="24" t="s">
        <v>111</v>
      </c>
      <c r="C28" s="24" t="s">
        <v>114</v>
      </c>
      <c r="D28" s="42" t="n">
        <v>12131.8922984953</v>
      </c>
      <c r="E28" s="43" t="n">
        <v>13489.745385695</v>
      </c>
      <c r="F28" s="70" t="n">
        <v>0.100658170215695</v>
      </c>
      <c r="G28" s="42" t="n">
        <v>10750</v>
      </c>
      <c r="H28" s="43" t="n">
        <v>11200</v>
      </c>
      <c r="I28" s="70" t="n">
        <v>0.0401785714285714</v>
      </c>
      <c r="J28" s="71" t="n">
        <v>322.547410854288</v>
      </c>
      <c r="K28" s="72" t="n">
        <v>322.556625222942</v>
      </c>
      <c r="L28" s="73" t="b">
        <f aca="false">TRUE()</f>
        <v>1</v>
      </c>
      <c r="M28" s="108" t="n">
        <v>5796</v>
      </c>
      <c r="N28" s="109" t="n">
        <v>2818</v>
      </c>
      <c r="O28" s="109" t="n">
        <v>2978</v>
      </c>
      <c r="P28" s="109" t="n">
        <v>1459061</v>
      </c>
      <c r="Q28" s="109" t="n">
        <v>705914</v>
      </c>
      <c r="R28" s="110" t="n">
        <v>753147</v>
      </c>
    </row>
    <row r="29" customFormat="false" ht="15.75" hidden="false" customHeight="true" outlineLevel="0" collapsed="false">
      <c r="A29" s="23" t="s">
        <v>53</v>
      </c>
      <c r="B29" s="24" t="s">
        <v>111</v>
      </c>
      <c r="C29" s="24" t="s">
        <v>115</v>
      </c>
      <c r="D29" s="42" t="n">
        <v>14986.1533441927</v>
      </c>
      <c r="E29" s="43" t="n">
        <v>17848.7008274658</v>
      </c>
      <c r="F29" s="70" t="n">
        <v>0.160378478576333</v>
      </c>
      <c r="G29" s="42" t="n">
        <v>12040</v>
      </c>
      <c r="H29" s="43" t="n">
        <v>15000</v>
      </c>
      <c r="I29" s="70" t="n">
        <v>0.197333333333333</v>
      </c>
      <c r="J29" s="71" t="n">
        <v>322.548063760244</v>
      </c>
      <c r="K29" s="72" t="n">
        <v>322.573631735913</v>
      </c>
      <c r="L29" s="73" t="b">
        <f aca="false">TRUE()</f>
        <v>1</v>
      </c>
      <c r="M29" s="108" t="n">
        <v>5960</v>
      </c>
      <c r="N29" s="109" t="n">
        <v>2635</v>
      </c>
      <c r="O29" s="109" t="n">
        <v>3325</v>
      </c>
      <c r="P29" s="109" t="n">
        <v>1568315</v>
      </c>
      <c r="Q29" s="109" t="n">
        <v>709065</v>
      </c>
      <c r="R29" s="110" t="n">
        <v>859250</v>
      </c>
    </row>
    <row r="30" customFormat="false" ht="15.75" hidden="false" customHeight="true" outlineLevel="0" collapsed="false">
      <c r="A30" s="23" t="s">
        <v>53</v>
      </c>
      <c r="B30" s="24" t="s">
        <v>111</v>
      </c>
      <c r="C30" s="24" t="s">
        <v>116</v>
      </c>
      <c r="D30" s="42" t="n">
        <v>16491.2420279111</v>
      </c>
      <c r="E30" s="43" t="n">
        <v>20369.4810132177</v>
      </c>
      <c r="F30" s="70" t="n">
        <v>0.190394589964763</v>
      </c>
      <c r="G30" s="42" t="n">
        <v>14000</v>
      </c>
      <c r="H30" s="43" t="n">
        <v>16000</v>
      </c>
      <c r="I30" s="70" t="n">
        <v>0.125</v>
      </c>
      <c r="J30" s="71" t="n">
        <v>322.413777312233</v>
      </c>
      <c r="K30" s="72" t="n">
        <v>322.476057808698</v>
      </c>
      <c r="L30" s="73" t="b">
        <f aca="false">TRUE()</f>
        <v>1</v>
      </c>
      <c r="M30" s="108" t="n">
        <v>3460</v>
      </c>
      <c r="N30" s="109" t="n">
        <v>1504</v>
      </c>
      <c r="O30" s="109" t="n">
        <v>1956</v>
      </c>
      <c r="P30" s="109" t="n">
        <v>844722</v>
      </c>
      <c r="Q30" s="109" t="n">
        <v>369602</v>
      </c>
      <c r="R30" s="110" t="n">
        <v>475120</v>
      </c>
    </row>
    <row r="31" customFormat="false" ht="15.75" hidden="false" customHeight="true" outlineLevel="0" collapsed="false">
      <c r="A31" s="23" t="s">
        <v>53</v>
      </c>
      <c r="B31" s="24" t="s">
        <v>111</v>
      </c>
      <c r="C31" s="24" t="s">
        <v>117</v>
      </c>
      <c r="D31" s="42" t="n">
        <v>17774.2039927942</v>
      </c>
      <c r="E31" s="43" t="n">
        <v>20696.6741180901</v>
      </c>
      <c r="F31" s="70" t="n">
        <v>0.141204819123157</v>
      </c>
      <c r="G31" s="42" t="n">
        <v>15000</v>
      </c>
      <c r="H31" s="43" t="n">
        <v>16000</v>
      </c>
      <c r="I31" s="70" t="n">
        <v>0.0625</v>
      </c>
      <c r="J31" s="71" t="n">
        <v>322.199125057145</v>
      </c>
      <c r="K31" s="72" t="n">
        <v>322.376912888252</v>
      </c>
      <c r="L31" s="73" t="b">
        <f aca="false">TRUE()</f>
        <v>1</v>
      </c>
      <c r="M31" s="108" t="n">
        <v>2007</v>
      </c>
      <c r="N31" s="109" t="n">
        <v>817</v>
      </c>
      <c r="O31" s="109" t="n">
        <v>1190</v>
      </c>
      <c r="P31" s="109" t="n">
        <v>535926</v>
      </c>
      <c r="Q31" s="109" t="n">
        <v>209277</v>
      </c>
      <c r="R31" s="110" t="n">
        <v>326649</v>
      </c>
    </row>
    <row r="32" customFormat="false" ht="15.75" hidden="false" customHeight="true" outlineLevel="0" collapsed="false">
      <c r="A32" s="23" t="s">
        <v>53</v>
      </c>
      <c r="B32" s="24" t="s">
        <v>111</v>
      </c>
      <c r="C32" s="24" t="s">
        <v>118</v>
      </c>
      <c r="D32" s="42" t="n">
        <v>16638.3938238658</v>
      </c>
      <c r="E32" s="43" t="n">
        <v>19413.6918310824</v>
      </c>
      <c r="F32" s="70" t="n">
        <v>0.142955705249901</v>
      </c>
      <c r="G32" s="42" t="n">
        <v>14000</v>
      </c>
      <c r="H32" s="43" t="n">
        <v>15000</v>
      </c>
      <c r="I32" s="70" t="n">
        <v>0.0666666666666667</v>
      </c>
      <c r="J32" s="71" t="n">
        <v>320.624789085419</v>
      </c>
      <c r="K32" s="72" t="n">
        <v>321.955091901634</v>
      </c>
      <c r="L32" s="128" t="b">
        <f aca="false">FALSE()</f>
        <v>0</v>
      </c>
      <c r="M32" s="108" t="n">
        <v>726</v>
      </c>
      <c r="N32" s="109" t="n">
        <v>190</v>
      </c>
      <c r="O32" s="109" t="n">
        <v>536</v>
      </c>
      <c r="P32" s="109" t="n">
        <v>189929</v>
      </c>
      <c r="Q32" s="109" t="n">
        <v>49837</v>
      </c>
      <c r="R32" s="110" t="n">
        <v>140092</v>
      </c>
    </row>
    <row r="33" customFormat="false" ht="15.75" hidden="false" customHeight="true" outlineLevel="0" collapsed="false">
      <c r="A33" s="23" t="s">
        <v>53</v>
      </c>
      <c r="B33" s="24" t="s">
        <v>112</v>
      </c>
      <c r="C33" s="24" t="s">
        <v>114</v>
      </c>
      <c r="D33" s="42" t="n">
        <v>15166.355359001</v>
      </c>
      <c r="E33" s="43" t="n">
        <v>23461.4270601336</v>
      </c>
      <c r="F33" s="70" t="n">
        <v>0.35356211196666</v>
      </c>
      <c r="G33" s="42" t="n">
        <v>11180</v>
      </c>
      <c r="H33" s="43" t="n">
        <v>16000</v>
      </c>
      <c r="I33" s="70" t="n">
        <v>0.30125</v>
      </c>
      <c r="J33" s="71" t="n">
        <v>316.802755171508</v>
      </c>
      <c r="K33" s="72" t="n">
        <v>317.01609802645</v>
      </c>
      <c r="L33" s="128" t="b">
        <f aca="false">FALSE()</f>
        <v>0</v>
      </c>
      <c r="M33" s="108" t="n">
        <v>133</v>
      </c>
      <c r="N33" s="109" t="n">
        <v>76</v>
      </c>
      <c r="O33" s="109" t="n">
        <v>57</v>
      </c>
      <c r="P33" s="109" t="n">
        <v>35258</v>
      </c>
      <c r="Q33" s="109" t="n">
        <v>17298</v>
      </c>
      <c r="R33" s="110" t="n">
        <v>17960</v>
      </c>
    </row>
    <row r="34" customFormat="false" ht="15.75" hidden="false" customHeight="true" outlineLevel="0" collapsed="false">
      <c r="A34" s="23" t="s">
        <v>53</v>
      </c>
      <c r="B34" s="24" t="s">
        <v>112</v>
      </c>
      <c r="C34" s="24" t="s">
        <v>115</v>
      </c>
      <c r="D34" s="42" t="n">
        <v>20615.3467933114</v>
      </c>
      <c r="E34" s="43" t="n">
        <v>27867.8958987123</v>
      </c>
      <c r="F34" s="70" t="n">
        <v>0.260247459361868</v>
      </c>
      <c r="G34" s="42" t="n">
        <v>18000</v>
      </c>
      <c r="H34" s="43" t="n">
        <v>21500</v>
      </c>
      <c r="I34" s="70" t="n">
        <v>0.162790697674419</v>
      </c>
      <c r="J34" s="71" t="n">
        <v>321.051194878435</v>
      </c>
      <c r="K34" s="72" t="n">
        <v>321.097552342168</v>
      </c>
      <c r="L34" s="128" t="b">
        <f aca="false">FALSE()</f>
        <v>0</v>
      </c>
      <c r="M34" s="108" t="n">
        <v>520</v>
      </c>
      <c r="N34" s="109" t="n">
        <v>262</v>
      </c>
      <c r="O34" s="109" t="n">
        <v>258</v>
      </c>
      <c r="P34" s="109" t="n">
        <v>127540</v>
      </c>
      <c r="Q34" s="109" t="n">
        <v>62853</v>
      </c>
      <c r="R34" s="110" t="n">
        <v>64687</v>
      </c>
    </row>
    <row r="35" customFormat="false" ht="15.75" hidden="false" customHeight="true" outlineLevel="0" collapsed="false">
      <c r="A35" s="23" t="s">
        <v>53</v>
      </c>
      <c r="B35" s="24" t="s">
        <v>112</v>
      </c>
      <c r="C35" s="24" t="s">
        <v>116</v>
      </c>
      <c r="D35" s="42" t="n">
        <v>21704.9520082056</v>
      </c>
      <c r="E35" s="43" t="n">
        <v>28186.37597322</v>
      </c>
      <c r="F35" s="70" t="n">
        <v>0.229948822479784</v>
      </c>
      <c r="G35" s="42" t="n">
        <v>18000</v>
      </c>
      <c r="H35" s="43" t="n">
        <v>20000</v>
      </c>
      <c r="I35" s="70" t="n">
        <v>0.1</v>
      </c>
      <c r="J35" s="71" t="n">
        <v>320.837142531054</v>
      </c>
      <c r="K35" s="72" t="n">
        <v>320.753889038218</v>
      </c>
      <c r="L35" s="128" t="b">
        <f aca="false">FALSE()</f>
        <v>0</v>
      </c>
      <c r="M35" s="108" t="n">
        <v>482</v>
      </c>
      <c r="N35" s="109" t="n">
        <v>241</v>
      </c>
      <c r="O35" s="109" t="n">
        <v>241</v>
      </c>
      <c r="P35" s="109" t="n">
        <v>108746</v>
      </c>
      <c r="Q35" s="109" t="n">
        <v>55572</v>
      </c>
      <c r="R35" s="110" t="n">
        <v>53174</v>
      </c>
    </row>
    <row r="36" customFormat="false" ht="15.75" hidden="false" customHeight="true" outlineLevel="0" collapsed="false">
      <c r="A36" s="23" t="s">
        <v>53</v>
      </c>
      <c r="B36" s="24" t="s">
        <v>112</v>
      </c>
      <c r="C36" s="24" t="s">
        <v>117</v>
      </c>
      <c r="D36" s="42" t="n">
        <v>25522.583861806</v>
      </c>
      <c r="E36" s="43" t="n">
        <v>33938.6712761754</v>
      </c>
      <c r="F36" s="70" t="n">
        <v>0.247979284335666</v>
      </c>
      <c r="G36" s="42" t="n">
        <v>20400</v>
      </c>
      <c r="H36" s="43" t="n">
        <v>30000</v>
      </c>
      <c r="I36" s="70" t="n">
        <v>0.32</v>
      </c>
      <c r="J36" s="71" t="n">
        <v>318.705535431763</v>
      </c>
      <c r="K36" s="72" t="n">
        <v>319.312305292256</v>
      </c>
      <c r="L36" s="128" t="b">
        <f aca="false">FALSE()</f>
        <v>0</v>
      </c>
      <c r="M36" s="108" t="n">
        <v>303</v>
      </c>
      <c r="N36" s="109" t="n">
        <v>135</v>
      </c>
      <c r="O36" s="109" t="n">
        <v>168</v>
      </c>
      <c r="P36" s="109" t="n">
        <v>56075</v>
      </c>
      <c r="Q36" s="109" t="n">
        <v>25703</v>
      </c>
      <c r="R36" s="110" t="n">
        <v>30372</v>
      </c>
    </row>
    <row r="37" customFormat="false" ht="15.75" hidden="false" customHeight="true" outlineLevel="0" collapsed="false">
      <c r="A37" s="29" t="s">
        <v>53</v>
      </c>
      <c r="B37" s="30" t="s">
        <v>112</v>
      </c>
      <c r="C37" s="30" t="s">
        <v>118</v>
      </c>
      <c r="D37" s="48" t="n">
        <v>35338.0051249199</v>
      </c>
      <c r="E37" s="49" t="n">
        <v>34399.3359445345</v>
      </c>
      <c r="F37" s="62" t="n">
        <v>-0.0272874215333387</v>
      </c>
      <c r="G37" s="48" t="n">
        <v>40000</v>
      </c>
      <c r="H37" s="49" t="n">
        <v>28000</v>
      </c>
      <c r="I37" s="62" t="n">
        <v>-0.428571428571429</v>
      </c>
      <c r="J37" s="63" t="n">
        <v>309.920573855958</v>
      </c>
      <c r="K37" s="64" t="n">
        <v>318.087566360179</v>
      </c>
      <c r="L37" s="129" t="b">
        <f aca="false">FALSE()</f>
        <v>0</v>
      </c>
      <c r="M37" s="122" t="n">
        <v>111</v>
      </c>
      <c r="N37" s="123" t="n">
        <v>38</v>
      </c>
      <c r="O37" s="123" t="n">
        <v>73</v>
      </c>
      <c r="P37" s="123" t="n">
        <v>30017</v>
      </c>
      <c r="Q37" s="123" t="n">
        <v>7805</v>
      </c>
      <c r="R37" s="124" t="n">
        <v>22212</v>
      </c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D1:F1"/>
    <mergeCell ref="G1:I1"/>
    <mergeCell ref="J1:L1"/>
    <mergeCell ref="M1:R1"/>
  </mergeCells>
  <hyperlinks>
    <hyperlink ref="T1" location="'Índice'!A1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3" activeCellId="0" sqref="D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.86"/>
    <col collapsed="false" customWidth="true" hidden="false" outlineLevel="0" max="3" min="3" style="0" width="27.29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8" min="7" style="0" width="16"/>
    <col collapsed="false" customWidth="true" hidden="false" outlineLevel="0" max="9" min="9" style="0" width="17"/>
    <col collapsed="false" customWidth="true" hidden="false" outlineLevel="0" max="11" min="10" style="0" width="13"/>
    <col collapsed="false" customWidth="true" hidden="false" outlineLevel="0" max="18" min="12" style="0" width="12"/>
    <col collapsed="false" customWidth="true" hidden="false" outlineLevel="0" max="19" min="19" style="0" width="8.71"/>
    <col collapsed="false" customWidth="true" hidden="false" outlineLevel="0" max="20" min="20" style="0" width="20"/>
    <col collapsed="false" customWidth="true" hidden="false" outlineLevel="0" max="26" min="21" style="0" width="8.71"/>
  </cols>
  <sheetData>
    <row r="1" customFormat="false" ht="15" hidden="false" customHeight="false" outlineLevel="0" collapsed="false">
      <c r="A1" s="56"/>
      <c r="B1" s="101" t="s">
        <v>20</v>
      </c>
      <c r="C1" s="101" t="s">
        <v>13</v>
      </c>
      <c r="D1" s="56" t="s">
        <v>36</v>
      </c>
      <c r="E1" s="56"/>
      <c r="F1" s="56"/>
      <c r="G1" s="56" t="s">
        <v>37</v>
      </c>
      <c r="H1" s="56"/>
      <c r="I1" s="56"/>
      <c r="J1" s="57" t="s">
        <v>38</v>
      </c>
      <c r="K1" s="57"/>
      <c r="L1" s="57"/>
      <c r="M1" s="106" t="s">
        <v>122</v>
      </c>
      <c r="N1" s="106"/>
      <c r="O1" s="106"/>
      <c r="P1" s="106"/>
      <c r="Q1" s="106"/>
      <c r="R1" s="106"/>
      <c r="T1" s="15" t="s">
        <v>39</v>
      </c>
    </row>
    <row r="2" customFormat="false" ht="15" hidden="false" customHeight="false" outlineLevel="0" collapsed="false">
      <c r="A2" s="16" t="s">
        <v>40</v>
      </c>
      <c r="B2" s="17" t="s">
        <v>123</v>
      </c>
      <c r="C2" s="17" t="s">
        <v>124</v>
      </c>
      <c r="D2" s="16" t="s">
        <v>43</v>
      </c>
      <c r="E2" s="17" t="s">
        <v>44</v>
      </c>
      <c r="F2" s="17" t="s">
        <v>45</v>
      </c>
      <c r="G2" s="16" t="s">
        <v>47</v>
      </c>
      <c r="H2" s="17" t="s">
        <v>48</v>
      </c>
      <c r="I2" s="17" t="s">
        <v>49</v>
      </c>
      <c r="J2" s="59" t="s">
        <v>50</v>
      </c>
      <c r="K2" s="60" t="s">
        <v>51</v>
      </c>
      <c r="L2" s="60" t="s">
        <v>52</v>
      </c>
      <c r="M2" s="59" t="s">
        <v>125</v>
      </c>
      <c r="N2" s="60" t="s">
        <v>126</v>
      </c>
      <c r="O2" s="60" t="s">
        <v>127</v>
      </c>
      <c r="P2" s="60" t="s">
        <v>128</v>
      </c>
      <c r="Q2" s="60" t="s">
        <v>129</v>
      </c>
      <c r="R2" s="107" t="s">
        <v>130</v>
      </c>
    </row>
    <row r="3" customFormat="false" ht="15" hidden="false" customHeight="false" outlineLevel="0" collapsed="false">
      <c r="A3" s="111" t="s">
        <v>53</v>
      </c>
      <c r="B3" s="112" t="s">
        <v>119</v>
      </c>
      <c r="C3" s="112" t="s">
        <v>54</v>
      </c>
      <c r="D3" s="113" t="n">
        <v>12097.1918620657</v>
      </c>
      <c r="E3" s="114" t="n">
        <v>13234.9625260899</v>
      </c>
      <c r="F3" s="115" t="n">
        <v>0.0859670483978569</v>
      </c>
      <c r="G3" s="113" t="n">
        <v>9400</v>
      </c>
      <c r="H3" s="114" t="n">
        <v>10750</v>
      </c>
      <c r="I3" s="115" t="n">
        <v>0.125581395348837</v>
      </c>
      <c r="J3" s="116" t="n">
        <v>322.620947721204</v>
      </c>
      <c r="K3" s="117" t="n">
        <v>322.658959822916</v>
      </c>
      <c r="L3" s="118" t="b">
        <f aca="false">TRUE()</f>
        <v>1</v>
      </c>
      <c r="M3" s="119" t="n">
        <v>15570</v>
      </c>
      <c r="N3" s="120" t="n">
        <v>5154</v>
      </c>
      <c r="O3" s="120" t="n">
        <v>10416</v>
      </c>
      <c r="P3" s="120" t="n">
        <v>4341774</v>
      </c>
      <c r="Q3" s="120" t="n">
        <v>1412963</v>
      </c>
      <c r="R3" s="121" t="n">
        <v>2928811</v>
      </c>
    </row>
    <row r="4" customFormat="false" ht="15" hidden="false" customHeight="false" outlineLevel="0" collapsed="false">
      <c r="A4" s="29" t="s">
        <v>53</v>
      </c>
      <c r="B4" s="30" t="s">
        <v>119</v>
      </c>
      <c r="C4" s="30" t="s">
        <v>55</v>
      </c>
      <c r="D4" s="48" t="n">
        <v>5868.92505713211</v>
      </c>
      <c r="E4" s="49" t="n">
        <v>7650.16580130673</v>
      </c>
      <c r="F4" s="62" t="n">
        <v>0.232836880982419</v>
      </c>
      <c r="G4" s="48" t="n">
        <v>3870</v>
      </c>
      <c r="H4" s="49" t="n">
        <v>5160</v>
      </c>
      <c r="I4" s="62" t="n">
        <v>0.25</v>
      </c>
      <c r="J4" s="63" t="n">
        <v>322.575351049933</v>
      </c>
      <c r="K4" s="64" t="n">
        <v>322.577219253447</v>
      </c>
      <c r="L4" s="65" t="b">
        <f aca="false">TRUE()</f>
        <v>1</v>
      </c>
      <c r="M4" s="122" t="n">
        <v>5866</v>
      </c>
      <c r="N4" s="123" t="n">
        <v>2945</v>
      </c>
      <c r="O4" s="123" t="n">
        <v>2921</v>
      </c>
      <c r="P4" s="123" t="n">
        <v>1757230</v>
      </c>
      <c r="Q4" s="123" t="n">
        <v>871664</v>
      </c>
      <c r="R4" s="124" t="n">
        <v>885566</v>
      </c>
    </row>
    <row r="5" customFormat="false" ht="15" hidden="false" customHeight="false" outlineLevel="0" collapsed="false">
      <c r="A5" s="23" t="s">
        <v>53</v>
      </c>
      <c r="B5" s="24" t="s">
        <v>120</v>
      </c>
      <c r="C5" s="24" t="s">
        <v>54</v>
      </c>
      <c r="D5" s="42" t="n">
        <v>10629.5675290008</v>
      </c>
      <c r="E5" s="43" t="n">
        <v>12842.0477007152</v>
      </c>
      <c r="F5" s="70" t="n">
        <v>0.17228406429227</v>
      </c>
      <c r="G5" s="42" t="n">
        <v>8600</v>
      </c>
      <c r="H5" s="43" t="n">
        <v>10750</v>
      </c>
      <c r="I5" s="70" t="n">
        <v>0.2</v>
      </c>
      <c r="J5" s="71" t="n">
        <v>322.669062874774</v>
      </c>
      <c r="K5" s="72" t="n">
        <v>322.680844310063</v>
      </c>
      <c r="L5" s="73" t="b">
        <f aca="false">TRUE()</f>
        <v>1</v>
      </c>
      <c r="M5" s="108" t="n">
        <v>40891</v>
      </c>
      <c r="N5" s="109" t="n">
        <v>14953</v>
      </c>
      <c r="O5" s="109" t="n">
        <v>25938</v>
      </c>
      <c r="P5" s="109" t="n">
        <v>11754430</v>
      </c>
      <c r="Q5" s="109" t="n">
        <v>4096788</v>
      </c>
      <c r="R5" s="110" t="n">
        <v>7657642</v>
      </c>
    </row>
    <row r="6" customFormat="false" ht="15" hidden="false" customHeight="false" outlineLevel="0" collapsed="false">
      <c r="A6" s="29" t="s">
        <v>53</v>
      </c>
      <c r="B6" s="30" t="s">
        <v>120</v>
      </c>
      <c r="C6" s="30" t="s">
        <v>55</v>
      </c>
      <c r="D6" s="48" t="n">
        <v>5826.58259695771</v>
      </c>
      <c r="E6" s="49" t="n">
        <v>8366.40803240575</v>
      </c>
      <c r="F6" s="62" t="n">
        <v>0.303574177306496</v>
      </c>
      <c r="G6" s="48" t="n">
        <v>4300</v>
      </c>
      <c r="H6" s="49" t="n">
        <v>6450</v>
      </c>
      <c r="I6" s="62" t="n">
        <v>0.333333333333333</v>
      </c>
      <c r="J6" s="63" t="n">
        <v>322.656076350818</v>
      </c>
      <c r="K6" s="64" t="n">
        <v>322.621589795362</v>
      </c>
      <c r="L6" s="65" t="b">
        <f aca="false">TRUE()</f>
        <v>1</v>
      </c>
      <c r="M6" s="122" t="n">
        <v>13684</v>
      </c>
      <c r="N6" s="123" t="n">
        <v>9231</v>
      </c>
      <c r="O6" s="123" t="n">
        <v>4453</v>
      </c>
      <c r="P6" s="123" t="n">
        <v>4133849</v>
      </c>
      <c r="Q6" s="123" t="n">
        <v>2708423</v>
      </c>
      <c r="R6" s="124" t="n">
        <v>1425426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D1:F1"/>
    <mergeCell ref="G1:I1"/>
    <mergeCell ref="J1:L1"/>
    <mergeCell ref="M1:R1"/>
  </mergeCells>
  <hyperlinks>
    <hyperlink ref="T1" location="'Índice'!A1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3" activeCellId="0" sqref="D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.86"/>
    <col collapsed="false" customWidth="true" hidden="false" outlineLevel="0" max="3" min="3" style="0" width="22.43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8" min="7" style="0" width="16"/>
    <col collapsed="false" customWidth="true" hidden="false" outlineLevel="0" max="9" min="9" style="0" width="17"/>
    <col collapsed="false" customWidth="true" hidden="false" outlineLevel="0" max="11" min="10" style="0" width="13"/>
    <col collapsed="false" customWidth="true" hidden="false" outlineLevel="0" max="18" min="12" style="0" width="12"/>
    <col collapsed="false" customWidth="true" hidden="false" outlineLevel="0" max="19" min="19" style="0" width="8.71"/>
    <col collapsed="false" customWidth="true" hidden="false" outlineLevel="0" max="20" min="20" style="0" width="20"/>
    <col collapsed="false" customWidth="true" hidden="false" outlineLevel="0" max="26" min="21" style="0" width="8.71"/>
  </cols>
  <sheetData>
    <row r="1" customFormat="false" ht="15" hidden="false" customHeight="false" outlineLevel="0" collapsed="false">
      <c r="A1" s="67"/>
      <c r="B1" s="67" t="s">
        <v>20</v>
      </c>
      <c r="C1" s="67" t="s">
        <v>121</v>
      </c>
      <c r="D1" s="68" t="s">
        <v>36</v>
      </c>
      <c r="E1" s="68"/>
      <c r="F1" s="68"/>
      <c r="G1" s="68" t="s">
        <v>37</v>
      </c>
      <c r="H1" s="68"/>
      <c r="I1" s="68"/>
      <c r="J1" s="69" t="s">
        <v>38</v>
      </c>
      <c r="K1" s="69"/>
      <c r="L1" s="69"/>
      <c r="M1" s="69" t="s">
        <v>122</v>
      </c>
      <c r="N1" s="69"/>
      <c r="O1" s="69"/>
      <c r="P1" s="69"/>
      <c r="Q1" s="69"/>
      <c r="R1" s="69"/>
      <c r="T1" s="15" t="s">
        <v>39</v>
      </c>
    </row>
    <row r="2" customFormat="false" ht="15" hidden="false" customHeight="false" outlineLevel="0" collapsed="false">
      <c r="A2" s="18" t="s">
        <v>40</v>
      </c>
      <c r="B2" s="19" t="s">
        <v>123</v>
      </c>
      <c r="C2" s="19" t="s">
        <v>124</v>
      </c>
      <c r="D2" s="18" t="s">
        <v>43</v>
      </c>
      <c r="E2" s="19" t="s">
        <v>44</v>
      </c>
      <c r="F2" s="19" t="s">
        <v>45</v>
      </c>
      <c r="G2" s="18" t="s">
        <v>47</v>
      </c>
      <c r="H2" s="19" t="s">
        <v>48</v>
      </c>
      <c r="I2" s="19" t="s">
        <v>49</v>
      </c>
      <c r="J2" s="125" t="s">
        <v>50</v>
      </c>
      <c r="K2" s="126" t="s">
        <v>51</v>
      </c>
      <c r="L2" s="126" t="s">
        <v>52</v>
      </c>
      <c r="M2" s="125" t="s">
        <v>125</v>
      </c>
      <c r="N2" s="126" t="s">
        <v>126</v>
      </c>
      <c r="O2" s="126" t="s">
        <v>127</v>
      </c>
      <c r="P2" s="126" t="s">
        <v>128</v>
      </c>
      <c r="Q2" s="126" t="s">
        <v>129</v>
      </c>
      <c r="R2" s="127" t="s">
        <v>130</v>
      </c>
    </row>
    <row r="3" customFormat="false" ht="15" hidden="false" customHeight="false" outlineLevel="0" collapsed="false">
      <c r="A3" s="23" t="s">
        <v>53</v>
      </c>
      <c r="B3" s="24" t="s">
        <v>119</v>
      </c>
      <c r="C3" s="24" t="s">
        <v>96</v>
      </c>
      <c r="D3" s="42" t="n">
        <v>14876.4483850322</v>
      </c>
      <c r="E3" s="43" t="n">
        <v>16322.4648788114</v>
      </c>
      <c r="F3" s="70" t="n">
        <v>0.0885905716149754</v>
      </c>
      <c r="G3" s="42" t="n">
        <v>12000</v>
      </c>
      <c r="H3" s="43" t="n">
        <v>12900</v>
      </c>
      <c r="I3" s="70" t="n">
        <v>0.0697674418604651</v>
      </c>
      <c r="J3" s="71" t="n">
        <v>322.5676549404</v>
      </c>
      <c r="K3" s="72" t="n">
        <v>322.62561446146</v>
      </c>
      <c r="L3" s="73" t="b">
        <f aca="false">TRUE()</f>
        <v>1</v>
      </c>
      <c r="M3" s="108" t="n">
        <v>8999</v>
      </c>
      <c r="N3" s="109" t="n">
        <v>3231</v>
      </c>
      <c r="O3" s="109" t="n">
        <v>5768</v>
      </c>
      <c r="P3" s="109" t="n">
        <v>2327563</v>
      </c>
      <c r="Q3" s="109" t="n">
        <v>818716</v>
      </c>
      <c r="R3" s="110" t="n">
        <v>1508847</v>
      </c>
    </row>
    <row r="4" customFormat="false" ht="15" hidden="false" customHeight="false" outlineLevel="0" collapsed="false">
      <c r="A4" s="23" t="s">
        <v>53</v>
      </c>
      <c r="B4" s="24" t="s">
        <v>119</v>
      </c>
      <c r="C4" s="24" t="s">
        <v>97</v>
      </c>
      <c r="D4" s="42" t="n">
        <v>8268.10768754407</v>
      </c>
      <c r="E4" s="43" t="n">
        <v>9954.19719514016</v>
      </c>
      <c r="F4" s="70" t="n">
        <v>0.169384780564652</v>
      </c>
      <c r="G4" s="42" t="n">
        <v>6450</v>
      </c>
      <c r="H4" s="43" t="n">
        <v>8600</v>
      </c>
      <c r="I4" s="70" t="n">
        <v>0.25</v>
      </c>
      <c r="J4" s="71" t="n">
        <v>322.519804562384</v>
      </c>
      <c r="K4" s="72" t="n">
        <v>322.621309788783</v>
      </c>
      <c r="L4" s="73" t="b">
        <f aca="false">TRUE()</f>
        <v>1</v>
      </c>
      <c r="M4" s="108" t="n">
        <v>6571</v>
      </c>
      <c r="N4" s="109" t="n">
        <v>1923</v>
      </c>
      <c r="O4" s="109" t="n">
        <v>4648</v>
      </c>
      <c r="P4" s="109" t="n">
        <v>2014211</v>
      </c>
      <c r="Q4" s="109" t="n">
        <v>594247</v>
      </c>
      <c r="R4" s="110" t="n">
        <v>1419964</v>
      </c>
    </row>
    <row r="5" customFormat="false" ht="15" hidden="false" customHeight="false" outlineLevel="0" collapsed="false">
      <c r="A5" s="23" t="s">
        <v>53</v>
      </c>
      <c r="B5" s="24" t="s">
        <v>120</v>
      </c>
      <c r="C5" s="24" t="s">
        <v>96</v>
      </c>
      <c r="D5" s="42" t="n">
        <v>12766.1561999138</v>
      </c>
      <c r="E5" s="43" t="n">
        <v>15201.3384329138</v>
      </c>
      <c r="F5" s="70" t="n">
        <v>0.160195251473867</v>
      </c>
      <c r="G5" s="42" t="n">
        <v>10750</v>
      </c>
      <c r="H5" s="43" t="n">
        <v>12685</v>
      </c>
      <c r="I5" s="70" t="n">
        <v>0.152542372881356</v>
      </c>
      <c r="J5" s="71" t="n">
        <v>322.648609435574</v>
      </c>
      <c r="K5" s="72" t="n">
        <v>322.66715622033</v>
      </c>
      <c r="L5" s="73" t="b">
        <f aca="false">TRUE()</f>
        <v>1</v>
      </c>
      <c r="M5" s="108" t="n">
        <v>23389</v>
      </c>
      <c r="N5" s="109" t="n">
        <v>8993</v>
      </c>
      <c r="O5" s="109" t="n">
        <v>14396</v>
      </c>
      <c r="P5" s="109" t="n">
        <v>6076769</v>
      </c>
      <c r="Q5" s="109" t="n">
        <v>2266717</v>
      </c>
      <c r="R5" s="110" t="n">
        <v>3810052</v>
      </c>
    </row>
    <row r="6" customFormat="false" ht="15" hidden="false" customHeight="false" outlineLevel="0" collapsed="false">
      <c r="A6" s="29" t="s">
        <v>53</v>
      </c>
      <c r="B6" s="30" t="s">
        <v>120</v>
      </c>
      <c r="C6" s="30" t="s">
        <v>97</v>
      </c>
      <c r="D6" s="48" t="n">
        <v>7983.19923926449</v>
      </c>
      <c r="E6" s="49" t="n">
        <v>10505.7747681016</v>
      </c>
      <c r="F6" s="62" t="n">
        <v>0.240113231486395</v>
      </c>
      <c r="G6" s="48" t="n">
        <v>6880</v>
      </c>
      <c r="H6" s="49" t="n">
        <v>9030</v>
      </c>
      <c r="I6" s="62" t="n">
        <v>0.238095238095238</v>
      </c>
      <c r="J6" s="63" t="n">
        <v>322.637685950764</v>
      </c>
      <c r="K6" s="64" t="n">
        <v>322.66742199488</v>
      </c>
      <c r="L6" s="65" t="b">
        <f aca="false">TRUE()</f>
        <v>1</v>
      </c>
      <c r="M6" s="122" t="n">
        <v>17502</v>
      </c>
      <c r="N6" s="123" t="n">
        <v>5960</v>
      </c>
      <c r="O6" s="123" t="n">
        <v>11542</v>
      </c>
      <c r="P6" s="123" t="n">
        <v>5677661</v>
      </c>
      <c r="Q6" s="123" t="n">
        <v>1830071</v>
      </c>
      <c r="R6" s="124" t="n">
        <v>3847590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D1:F1"/>
    <mergeCell ref="G1:I1"/>
    <mergeCell ref="J1:L1"/>
    <mergeCell ref="M1:R1"/>
  </mergeCells>
  <hyperlinks>
    <hyperlink ref="T1" location="'Índice'!A1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3" activeCellId="0" sqref="D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.86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8" min="7" style="0" width="16"/>
    <col collapsed="false" customWidth="true" hidden="false" outlineLevel="0" max="9" min="9" style="0" width="17"/>
    <col collapsed="false" customWidth="true" hidden="false" outlineLevel="0" max="11" min="10" style="0" width="13"/>
    <col collapsed="false" customWidth="true" hidden="false" outlineLevel="0" max="18" min="12" style="0" width="12"/>
    <col collapsed="false" customWidth="true" hidden="false" outlineLevel="0" max="19" min="19" style="0" width="8.71"/>
    <col collapsed="false" customWidth="true" hidden="false" outlineLevel="0" max="20" min="20" style="0" width="20"/>
    <col collapsed="false" customWidth="true" hidden="false" outlineLevel="0" max="26" min="21" style="0" width="8.71"/>
  </cols>
  <sheetData>
    <row r="1" customFormat="false" ht="15" hidden="false" customHeight="false" outlineLevel="0" collapsed="false">
      <c r="A1" s="56"/>
      <c r="B1" s="101" t="s">
        <v>20</v>
      </c>
      <c r="C1" s="101" t="s">
        <v>19</v>
      </c>
      <c r="D1" s="56" t="s">
        <v>36</v>
      </c>
      <c r="E1" s="56"/>
      <c r="F1" s="56"/>
      <c r="G1" s="56" t="s">
        <v>37</v>
      </c>
      <c r="H1" s="56"/>
      <c r="I1" s="56"/>
      <c r="J1" s="57" t="s">
        <v>38</v>
      </c>
      <c r="K1" s="57"/>
      <c r="L1" s="57"/>
      <c r="M1" s="106" t="s">
        <v>122</v>
      </c>
      <c r="N1" s="106"/>
      <c r="O1" s="106"/>
      <c r="P1" s="106"/>
      <c r="Q1" s="106"/>
      <c r="R1" s="106"/>
      <c r="T1" s="15" t="s">
        <v>39</v>
      </c>
    </row>
    <row r="2" customFormat="false" ht="15" hidden="false" customHeight="false" outlineLevel="0" collapsed="false">
      <c r="A2" s="16" t="s">
        <v>40</v>
      </c>
      <c r="B2" s="17" t="s">
        <v>123</v>
      </c>
      <c r="C2" s="17" t="s">
        <v>124</v>
      </c>
      <c r="D2" s="16" t="s">
        <v>43</v>
      </c>
      <c r="E2" s="17" t="s">
        <v>44</v>
      </c>
      <c r="F2" s="17" t="s">
        <v>45</v>
      </c>
      <c r="G2" s="16" t="s">
        <v>47</v>
      </c>
      <c r="H2" s="17" t="s">
        <v>48</v>
      </c>
      <c r="I2" s="17" t="s">
        <v>49</v>
      </c>
      <c r="J2" s="59" t="s">
        <v>50</v>
      </c>
      <c r="K2" s="60" t="s">
        <v>51</v>
      </c>
      <c r="L2" s="60" t="s">
        <v>52</v>
      </c>
      <c r="M2" s="59" t="s">
        <v>125</v>
      </c>
      <c r="N2" s="60" t="s">
        <v>126</v>
      </c>
      <c r="O2" s="60" t="s">
        <v>127</v>
      </c>
      <c r="P2" s="60" t="s">
        <v>128</v>
      </c>
      <c r="Q2" s="60" t="s">
        <v>129</v>
      </c>
      <c r="R2" s="107" t="s">
        <v>130</v>
      </c>
    </row>
    <row r="3" customFormat="false" ht="15" hidden="false" customHeight="false" outlineLevel="0" collapsed="false">
      <c r="A3" s="111" t="s">
        <v>53</v>
      </c>
      <c r="B3" s="112" t="s">
        <v>119</v>
      </c>
      <c r="C3" s="112" t="s">
        <v>113</v>
      </c>
      <c r="D3" s="113" t="n">
        <v>8333.20338105917</v>
      </c>
      <c r="E3" s="114" t="n">
        <v>9901.06737154841</v>
      </c>
      <c r="F3" s="115" t="n">
        <v>0.158353027169034</v>
      </c>
      <c r="G3" s="113" t="n">
        <v>7740</v>
      </c>
      <c r="H3" s="114" t="n">
        <v>9030</v>
      </c>
      <c r="I3" s="115" t="n">
        <v>0.142857142857143</v>
      </c>
      <c r="J3" s="116" t="n">
        <v>313.98244600835</v>
      </c>
      <c r="K3" s="117" t="n">
        <v>319.698789194609</v>
      </c>
      <c r="L3" s="138" t="b">
        <f aca="false">FALSE()</f>
        <v>0</v>
      </c>
      <c r="M3" s="119" t="n">
        <v>159</v>
      </c>
      <c r="N3" s="120" t="n">
        <v>53</v>
      </c>
      <c r="O3" s="120" t="n">
        <v>106</v>
      </c>
      <c r="P3" s="120" t="n">
        <v>45926</v>
      </c>
      <c r="Q3" s="120" t="n">
        <v>11594</v>
      </c>
      <c r="R3" s="121" t="n">
        <v>34332</v>
      </c>
    </row>
    <row r="4" customFormat="false" ht="15" hidden="false" customHeight="false" outlineLevel="0" collapsed="false">
      <c r="A4" s="23" t="s">
        <v>53</v>
      </c>
      <c r="B4" s="24" t="s">
        <v>119</v>
      </c>
      <c r="C4" s="24" t="s">
        <v>114</v>
      </c>
      <c r="D4" s="42" t="n">
        <v>12833.5481959851</v>
      </c>
      <c r="E4" s="43" t="n">
        <v>14255.2467072425</v>
      </c>
      <c r="F4" s="70" t="n">
        <v>0.099731596404793</v>
      </c>
      <c r="G4" s="42" t="n">
        <v>10750</v>
      </c>
      <c r="H4" s="43" t="n">
        <v>12000</v>
      </c>
      <c r="I4" s="70" t="n">
        <v>0.104166666666667</v>
      </c>
      <c r="J4" s="71" t="n">
        <v>322.281613868322</v>
      </c>
      <c r="K4" s="72" t="n">
        <v>322.466302381197</v>
      </c>
      <c r="L4" s="73" t="b">
        <f aca="false">TRUE()</f>
        <v>1</v>
      </c>
      <c r="M4" s="108" t="n">
        <v>2676</v>
      </c>
      <c r="N4" s="109" t="n">
        <v>1000</v>
      </c>
      <c r="O4" s="109" t="n">
        <v>1676</v>
      </c>
      <c r="P4" s="109" t="n">
        <v>705948</v>
      </c>
      <c r="Q4" s="109" t="n">
        <v>251162</v>
      </c>
      <c r="R4" s="110" t="n">
        <v>454786</v>
      </c>
    </row>
    <row r="5" customFormat="false" ht="15" hidden="false" customHeight="false" outlineLevel="0" collapsed="false">
      <c r="A5" s="23" t="s">
        <v>53</v>
      </c>
      <c r="B5" s="24" t="s">
        <v>119</v>
      </c>
      <c r="C5" s="24" t="s">
        <v>115</v>
      </c>
      <c r="D5" s="42" t="n">
        <v>16158.217988894</v>
      </c>
      <c r="E5" s="43" t="n">
        <v>16474.6554323573</v>
      </c>
      <c r="F5" s="70" t="n">
        <v>0.0192075303039017</v>
      </c>
      <c r="G5" s="42" t="n">
        <v>12900</v>
      </c>
      <c r="H5" s="43" t="n">
        <v>12900</v>
      </c>
      <c r="I5" s="70" t="n">
        <v>0</v>
      </c>
      <c r="J5" s="71" t="n">
        <v>322.327650803845</v>
      </c>
      <c r="K5" s="72" t="n">
        <v>322.517008394092</v>
      </c>
      <c r="L5" s="73" t="b">
        <f aca="false">TRUE()</f>
        <v>1</v>
      </c>
      <c r="M5" s="108" t="n">
        <v>3267</v>
      </c>
      <c r="N5" s="109" t="n">
        <v>1058</v>
      </c>
      <c r="O5" s="109" t="n">
        <v>2209</v>
      </c>
      <c r="P5" s="109" t="n">
        <v>867605</v>
      </c>
      <c r="Q5" s="109" t="n">
        <v>282730</v>
      </c>
      <c r="R5" s="110" t="n">
        <v>584875</v>
      </c>
    </row>
    <row r="6" customFormat="false" ht="15" hidden="false" customHeight="false" outlineLevel="0" collapsed="false">
      <c r="A6" s="23" t="s">
        <v>53</v>
      </c>
      <c r="B6" s="24" t="s">
        <v>119</v>
      </c>
      <c r="C6" s="24" t="s">
        <v>116</v>
      </c>
      <c r="D6" s="42" t="n">
        <v>12539.0634122614</v>
      </c>
      <c r="E6" s="43" t="n">
        <v>13746.5520724513</v>
      </c>
      <c r="F6" s="70" t="n">
        <v>0.0878393835651134</v>
      </c>
      <c r="G6" s="42" t="n">
        <v>9460</v>
      </c>
      <c r="H6" s="43" t="n">
        <v>11180</v>
      </c>
      <c r="I6" s="70" t="n">
        <v>0.153846153846154</v>
      </c>
      <c r="J6" s="71" t="n">
        <v>322.281050098108</v>
      </c>
      <c r="K6" s="72" t="n">
        <v>322.496264294701</v>
      </c>
      <c r="L6" s="73" t="b">
        <f aca="false">TRUE()</f>
        <v>1</v>
      </c>
      <c r="M6" s="108" t="n">
        <v>2883</v>
      </c>
      <c r="N6" s="109" t="n">
        <v>908</v>
      </c>
      <c r="O6" s="109" t="n">
        <v>1975</v>
      </c>
      <c r="P6" s="109" t="n">
        <v>774426</v>
      </c>
      <c r="Q6" s="109" t="n">
        <v>250819</v>
      </c>
      <c r="R6" s="110" t="n">
        <v>523607</v>
      </c>
    </row>
    <row r="7" customFormat="false" ht="15" hidden="false" customHeight="false" outlineLevel="0" collapsed="false">
      <c r="A7" s="23" t="s">
        <v>53</v>
      </c>
      <c r="B7" s="24" t="s">
        <v>119</v>
      </c>
      <c r="C7" s="24" t="s">
        <v>117</v>
      </c>
      <c r="D7" s="42" t="n">
        <v>10417.3830487017</v>
      </c>
      <c r="E7" s="43" t="n">
        <v>12199.3299121604</v>
      </c>
      <c r="F7" s="70" t="n">
        <v>0.146069241203362</v>
      </c>
      <c r="G7" s="42" t="n">
        <v>8600</v>
      </c>
      <c r="H7" s="43" t="n">
        <v>10100</v>
      </c>
      <c r="I7" s="70" t="n">
        <v>0.148514851485149</v>
      </c>
      <c r="J7" s="71" t="n">
        <v>322.420834538463</v>
      </c>
      <c r="K7" s="72" t="n">
        <v>322.55185217929</v>
      </c>
      <c r="L7" s="73" t="b">
        <f aca="false">TRUE()</f>
        <v>1</v>
      </c>
      <c r="M7" s="108" t="n">
        <v>3828</v>
      </c>
      <c r="N7" s="109" t="n">
        <v>1363</v>
      </c>
      <c r="O7" s="109" t="n">
        <v>2465</v>
      </c>
      <c r="P7" s="109" t="n">
        <v>1107063</v>
      </c>
      <c r="Q7" s="109" t="n">
        <v>379145</v>
      </c>
      <c r="R7" s="110" t="n">
        <v>727918</v>
      </c>
    </row>
    <row r="8" customFormat="false" ht="15" hidden="false" customHeight="false" outlineLevel="0" collapsed="false">
      <c r="A8" s="29" t="s">
        <v>53</v>
      </c>
      <c r="B8" s="30" t="s">
        <v>119</v>
      </c>
      <c r="C8" s="30" t="s">
        <v>118</v>
      </c>
      <c r="D8" s="48" t="n">
        <v>8882.97776963787</v>
      </c>
      <c r="E8" s="49" t="n">
        <v>10320.320207594</v>
      </c>
      <c r="F8" s="62" t="n">
        <v>0.139273046673346</v>
      </c>
      <c r="G8" s="48" t="n">
        <v>6450</v>
      </c>
      <c r="H8" s="49" t="n">
        <v>8333</v>
      </c>
      <c r="I8" s="62" t="n">
        <v>0.22596903876155</v>
      </c>
      <c r="J8" s="63" t="n">
        <v>322.257924650374</v>
      </c>
      <c r="K8" s="64" t="n">
        <v>322.522421116195</v>
      </c>
      <c r="L8" s="65" t="b">
        <f aca="false">TRUE()</f>
        <v>1</v>
      </c>
      <c r="M8" s="122" t="n">
        <v>2757</v>
      </c>
      <c r="N8" s="123" t="n">
        <v>772</v>
      </c>
      <c r="O8" s="123" t="n">
        <v>1985</v>
      </c>
      <c r="P8" s="123" t="n">
        <v>840806</v>
      </c>
      <c r="Q8" s="123" t="n">
        <v>237513</v>
      </c>
      <c r="R8" s="124" t="n">
        <v>603293</v>
      </c>
    </row>
    <row r="9" customFormat="false" ht="15" hidden="false" customHeight="false" outlineLevel="0" collapsed="false">
      <c r="A9" s="23" t="s">
        <v>53</v>
      </c>
      <c r="B9" s="24" t="s">
        <v>120</v>
      </c>
      <c r="C9" s="24" t="s">
        <v>113</v>
      </c>
      <c r="D9" s="42" t="n">
        <v>9096.55217889908</v>
      </c>
      <c r="E9" s="43" t="n">
        <v>9244.90122018857</v>
      </c>
      <c r="F9" s="70" t="n">
        <v>0.0160465793799434</v>
      </c>
      <c r="G9" s="42" t="n">
        <v>9000</v>
      </c>
      <c r="H9" s="43" t="n">
        <v>9890</v>
      </c>
      <c r="I9" s="70" t="n">
        <v>0.089989888776542</v>
      </c>
      <c r="J9" s="71" t="n">
        <v>295.445762578752</v>
      </c>
      <c r="K9" s="72" t="n">
        <v>317.037757123942</v>
      </c>
      <c r="L9" s="128" t="b">
        <f aca="false">FALSE()</f>
        <v>0</v>
      </c>
      <c r="M9" s="108" t="n">
        <v>77</v>
      </c>
      <c r="N9" s="109" t="n">
        <v>23</v>
      </c>
      <c r="O9" s="109" t="n">
        <v>54</v>
      </c>
      <c r="P9" s="109" t="n">
        <v>21518</v>
      </c>
      <c r="Q9" s="109" t="n">
        <v>3488</v>
      </c>
      <c r="R9" s="110" t="n">
        <v>18030</v>
      </c>
    </row>
    <row r="10" customFormat="false" ht="15" hidden="false" customHeight="false" outlineLevel="0" collapsed="false">
      <c r="A10" s="23" t="s">
        <v>53</v>
      </c>
      <c r="B10" s="24" t="s">
        <v>120</v>
      </c>
      <c r="C10" s="24" t="s">
        <v>114</v>
      </c>
      <c r="D10" s="42" t="n">
        <v>10343.7247849438</v>
      </c>
      <c r="E10" s="43" t="n">
        <v>12269.4990136575</v>
      </c>
      <c r="F10" s="70" t="n">
        <v>0.15695622344238</v>
      </c>
      <c r="G10" s="42" t="n">
        <v>8600</v>
      </c>
      <c r="H10" s="43" t="n">
        <v>10750</v>
      </c>
      <c r="I10" s="70" t="n">
        <v>0.2</v>
      </c>
      <c r="J10" s="71" t="n">
        <v>322.399368846657</v>
      </c>
      <c r="K10" s="72" t="n">
        <v>322.551658129923</v>
      </c>
      <c r="L10" s="73" t="b">
        <f aca="false">TRUE()</f>
        <v>1</v>
      </c>
      <c r="M10" s="108" t="n">
        <v>3743</v>
      </c>
      <c r="N10" s="109" t="n">
        <v>1257</v>
      </c>
      <c r="O10" s="109" t="n">
        <v>2486</v>
      </c>
      <c r="P10" s="109" t="n">
        <v>1078464</v>
      </c>
      <c r="Q10" s="109" t="n">
        <v>351536</v>
      </c>
      <c r="R10" s="110" t="n">
        <v>726928</v>
      </c>
    </row>
    <row r="11" customFormat="false" ht="15" hidden="false" customHeight="false" outlineLevel="0" collapsed="false">
      <c r="A11" s="23" t="s">
        <v>53</v>
      </c>
      <c r="B11" s="24" t="s">
        <v>120</v>
      </c>
      <c r="C11" s="24" t="s">
        <v>115</v>
      </c>
      <c r="D11" s="42" t="n">
        <v>10948.1469254695</v>
      </c>
      <c r="E11" s="43" t="n">
        <v>13210.06812485</v>
      </c>
      <c r="F11" s="70" t="n">
        <v>0.171227065447565</v>
      </c>
      <c r="G11" s="42" t="n">
        <v>9000</v>
      </c>
      <c r="H11" s="43" t="n">
        <v>10750</v>
      </c>
      <c r="I11" s="70" t="n">
        <v>0.162790697674419</v>
      </c>
      <c r="J11" s="71" t="n">
        <v>322.613129689096</v>
      </c>
      <c r="K11" s="72" t="n">
        <v>322.647139442604</v>
      </c>
      <c r="L11" s="73" t="b">
        <f aca="false">TRUE()</f>
        <v>1</v>
      </c>
      <c r="M11" s="108" t="n">
        <v>12059</v>
      </c>
      <c r="N11" s="109" t="n">
        <v>4624</v>
      </c>
      <c r="O11" s="109" t="n">
        <v>7435</v>
      </c>
      <c r="P11" s="109" t="n">
        <v>3473211</v>
      </c>
      <c r="Q11" s="109" t="n">
        <v>1277008</v>
      </c>
      <c r="R11" s="110" t="n">
        <v>2196203</v>
      </c>
    </row>
    <row r="12" customFormat="false" ht="15" hidden="false" customHeight="false" outlineLevel="0" collapsed="false">
      <c r="A12" s="23" t="s">
        <v>53</v>
      </c>
      <c r="B12" s="24" t="s">
        <v>120</v>
      </c>
      <c r="C12" s="24" t="s">
        <v>116</v>
      </c>
      <c r="D12" s="42" t="n">
        <v>10722.5546706393</v>
      </c>
      <c r="E12" s="43" t="n">
        <v>13155.5166855844</v>
      </c>
      <c r="F12" s="70" t="n">
        <v>0.184938537428264</v>
      </c>
      <c r="G12" s="42" t="n">
        <v>8600</v>
      </c>
      <c r="H12" s="43" t="n">
        <v>10750</v>
      </c>
      <c r="I12" s="70" t="n">
        <v>0.2</v>
      </c>
      <c r="J12" s="71" t="n">
        <v>322.617402975831</v>
      </c>
      <c r="K12" s="72" t="n">
        <v>322.649739905697</v>
      </c>
      <c r="L12" s="73" t="b">
        <f aca="false">TRUE()</f>
        <v>1</v>
      </c>
      <c r="M12" s="108" t="n">
        <v>13055</v>
      </c>
      <c r="N12" s="109" t="n">
        <v>5059</v>
      </c>
      <c r="O12" s="109" t="n">
        <v>7996</v>
      </c>
      <c r="P12" s="109" t="n">
        <v>3672001</v>
      </c>
      <c r="Q12" s="109" t="n">
        <v>1347899</v>
      </c>
      <c r="R12" s="110" t="n">
        <v>2324102</v>
      </c>
    </row>
    <row r="13" customFormat="false" ht="15" hidden="false" customHeight="false" outlineLevel="0" collapsed="false">
      <c r="A13" s="23" t="s">
        <v>53</v>
      </c>
      <c r="B13" s="24" t="s">
        <v>120</v>
      </c>
      <c r="C13" s="24" t="s">
        <v>117</v>
      </c>
      <c r="D13" s="42" t="n">
        <v>10668.4691568317</v>
      </c>
      <c r="E13" s="43" t="n">
        <v>13023.2089850701</v>
      </c>
      <c r="F13" s="70" t="n">
        <v>0.180811029826665</v>
      </c>
      <c r="G13" s="42" t="n">
        <v>8600</v>
      </c>
      <c r="H13" s="43" t="n">
        <v>10750</v>
      </c>
      <c r="I13" s="70" t="n">
        <v>0.2</v>
      </c>
      <c r="J13" s="71" t="n">
        <v>322.574155619155</v>
      </c>
      <c r="K13" s="72" t="n">
        <v>322.634432303659</v>
      </c>
      <c r="L13" s="73" t="b">
        <f aca="false">TRUE()</f>
        <v>1</v>
      </c>
      <c r="M13" s="108" t="n">
        <v>9031</v>
      </c>
      <c r="N13" s="109" t="n">
        <v>3184</v>
      </c>
      <c r="O13" s="109" t="n">
        <v>5847</v>
      </c>
      <c r="P13" s="109" t="n">
        <v>2593755</v>
      </c>
      <c r="Q13" s="109" t="n">
        <v>862995</v>
      </c>
      <c r="R13" s="110" t="n">
        <v>1730760</v>
      </c>
    </row>
    <row r="14" customFormat="false" ht="15" hidden="false" customHeight="false" outlineLevel="0" collapsed="false">
      <c r="A14" s="29" t="s">
        <v>53</v>
      </c>
      <c r="B14" s="30" t="s">
        <v>120</v>
      </c>
      <c r="C14" s="30" t="s">
        <v>118</v>
      </c>
      <c r="D14" s="48" t="n">
        <v>8817.92793328659</v>
      </c>
      <c r="E14" s="49" t="n">
        <v>10772.4730124135</v>
      </c>
      <c r="F14" s="62" t="n">
        <v>0.181438846667298</v>
      </c>
      <c r="G14" s="48" t="n">
        <v>7740</v>
      </c>
      <c r="H14" s="49" t="n">
        <v>8600</v>
      </c>
      <c r="I14" s="62" t="n">
        <v>0.1</v>
      </c>
      <c r="J14" s="63" t="n">
        <v>322.285998581347</v>
      </c>
      <c r="K14" s="64" t="n">
        <v>322.537574800598</v>
      </c>
      <c r="L14" s="65" t="b">
        <f aca="false">TRUE()</f>
        <v>1</v>
      </c>
      <c r="M14" s="122" t="n">
        <v>2926</v>
      </c>
      <c r="N14" s="123" t="n">
        <v>806</v>
      </c>
      <c r="O14" s="123" t="n">
        <v>2120</v>
      </c>
      <c r="P14" s="123" t="n">
        <v>915481</v>
      </c>
      <c r="Q14" s="123" t="n">
        <v>253862</v>
      </c>
      <c r="R14" s="124" t="n">
        <v>661619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D1:F1"/>
    <mergeCell ref="G1:I1"/>
    <mergeCell ref="J1:L1"/>
    <mergeCell ref="M1:R1"/>
  </mergeCells>
  <hyperlinks>
    <hyperlink ref="T1" location="'Índice'!A1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3" activeCellId="0" sqref="D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.86"/>
    <col collapsed="false" customWidth="true" hidden="false" outlineLevel="0" max="3" min="3" style="0" width="28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8" min="7" style="0" width="16"/>
    <col collapsed="false" customWidth="true" hidden="false" outlineLevel="0" max="9" min="9" style="0" width="17"/>
    <col collapsed="false" customWidth="true" hidden="false" outlineLevel="0" max="11" min="10" style="0" width="13"/>
    <col collapsed="false" customWidth="true" hidden="false" outlineLevel="0" max="18" min="12" style="0" width="12"/>
    <col collapsed="false" customWidth="true" hidden="false" outlineLevel="0" max="19" min="19" style="0" width="8.71"/>
    <col collapsed="false" customWidth="true" hidden="false" outlineLevel="0" max="20" min="20" style="0" width="20"/>
    <col collapsed="false" customWidth="true" hidden="false" outlineLevel="0" max="26" min="21" style="0" width="8.71"/>
  </cols>
  <sheetData>
    <row r="1" customFormat="false" ht="15" hidden="false" customHeight="false" outlineLevel="0" collapsed="false">
      <c r="A1" s="56"/>
      <c r="B1" s="101" t="s">
        <v>20</v>
      </c>
      <c r="C1" s="101" t="s">
        <v>17</v>
      </c>
      <c r="D1" s="56" t="s">
        <v>36</v>
      </c>
      <c r="E1" s="56"/>
      <c r="F1" s="56"/>
      <c r="G1" s="56" t="s">
        <v>37</v>
      </c>
      <c r="H1" s="56"/>
      <c r="I1" s="56"/>
      <c r="J1" s="57" t="s">
        <v>38</v>
      </c>
      <c r="K1" s="57"/>
      <c r="L1" s="57"/>
      <c r="M1" s="106" t="s">
        <v>122</v>
      </c>
      <c r="N1" s="106"/>
      <c r="O1" s="106"/>
      <c r="P1" s="106"/>
      <c r="Q1" s="106"/>
      <c r="R1" s="106"/>
      <c r="T1" s="15" t="s">
        <v>39</v>
      </c>
    </row>
    <row r="2" customFormat="false" ht="15" hidden="false" customHeight="false" outlineLevel="0" collapsed="false">
      <c r="A2" s="16" t="s">
        <v>40</v>
      </c>
      <c r="B2" s="17" t="s">
        <v>123</v>
      </c>
      <c r="C2" s="17" t="s">
        <v>124</v>
      </c>
      <c r="D2" s="16" t="s">
        <v>43</v>
      </c>
      <c r="E2" s="17" t="s">
        <v>44</v>
      </c>
      <c r="F2" s="17" t="s">
        <v>45</v>
      </c>
      <c r="G2" s="16" t="s">
        <v>47</v>
      </c>
      <c r="H2" s="17" t="s">
        <v>48</v>
      </c>
      <c r="I2" s="17" t="s">
        <v>49</v>
      </c>
      <c r="J2" s="59" t="s">
        <v>50</v>
      </c>
      <c r="K2" s="60" t="s">
        <v>51</v>
      </c>
      <c r="L2" s="60" t="s">
        <v>52</v>
      </c>
      <c r="M2" s="59" t="s">
        <v>125</v>
      </c>
      <c r="N2" s="60" t="s">
        <v>126</v>
      </c>
      <c r="O2" s="60" t="s">
        <v>127</v>
      </c>
      <c r="P2" s="60" t="s">
        <v>128</v>
      </c>
      <c r="Q2" s="60" t="s">
        <v>129</v>
      </c>
      <c r="R2" s="107" t="s">
        <v>130</v>
      </c>
    </row>
    <row r="3" customFormat="false" ht="15" hidden="false" customHeight="false" outlineLevel="0" collapsed="false">
      <c r="A3" s="111" t="s">
        <v>53</v>
      </c>
      <c r="B3" s="112" t="s">
        <v>119</v>
      </c>
      <c r="C3" s="112" t="s">
        <v>107</v>
      </c>
      <c r="D3" s="113" t="n">
        <v>6819.65365209495</v>
      </c>
      <c r="E3" s="114" t="n">
        <v>8778.4843004403</v>
      </c>
      <c r="F3" s="115" t="n">
        <v>0.223139961444951</v>
      </c>
      <c r="G3" s="113" t="n">
        <v>6450</v>
      </c>
      <c r="H3" s="114" t="n">
        <v>8000</v>
      </c>
      <c r="I3" s="115" t="n">
        <v>0.19375</v>
      </c>
      <c r="J3" s="116" t="n">
        <v>322.362819981467</v>
      </c>
      <c r="K3" s="117" t="n">
        <v>322.566846672632</v>
      </c>
      <c r="L3" s="118" t="b">
        <f aca="false">TRUE()</f>
        <v>1</v>
      </c>
      <c r="M3" s="119" t="n">
        <v>3466</v>
      </c>
      <c r="N3" s="120" t="n">
        <v>953</v>
      </c>
      <c r="O3" s="120" t="n">
        <v>2513</v>
      </c>
      <c r="P3" s="120" t="n">
        <v>1126278</v>
      </c>
      <c r="Q3" s="120" t="n">
        <v>312752</v>
      </c>
      <c r="R3" s="121" t="n">
        <v>813526</v>
      </c>
    </row>
    <row r="4" customFormat="false" ht="15" hidden="false" customHeight="false" outlineLevel="0" collapsed="false">
      <c r="A4" s="23" t="s">
        <v>53</v>
      </c>
      <c r="B4" s="24" t="s">
        <v>119</v>
      </c>
      <c r="C4" s="24" t="s">
        <v>108</v>
      </c>
      <c r="D4" s="42" t="n">
        <v>9319.20110357476</v>
      </c>
      <c r="E4" s="43" t="n">
        <v>11195.4174442103</v>
      </c>
      <c r="F4" s="70" t="n">
        <v>0.167587885845727</v>
      </c>
      <c r="G4" s="42" t="n">
        <v>8170</v>
      </c>
      <c r="H4" s="43" t="n">
        <v>10320</v>
      </c>
      <c r="I4" s="70" t="n">
        <v>0.208333333333333</v>
      </c>
      <c r="J4" s="71" t="n">
        <v>322.366478638632</v>
      </c>
      <c r="K4" s="72" t="n">
        <v>322.554974062583</v>
      </c>
      <c r="L4" s="73" t="b">
        <f aca="false">TRUE()</f>
        <v>1</v>
      </c>
      <c r="M4" s="108" t="n">
        <v>3875</v>
      </c>
      <c r="N4" s="109" t="n">
        <v>1172</v>
      </c>
      <c r="O4" s="109" t="n">
        <v>2703</v>
      </c>
      <c r="P4" s="109" t="n">
        <v>1060469</v>
      </c>
      <c r="Q4" s="109" t="n">
        <v>316245</v>
      </c>
      <c r="R4" s="110" t="n">
        <v>744224</v>
      </c>
    </row>
    <row r="5" customFormat="false" ht="15" hidden="false" customHeight="false" outlineLevel="0" collapsed="false">
      <c r="A5" s="23" t="s">
        <v>53</v>
      </c>
      <c r="B5" s="24" t="s">
        <v>119</v>
      </c>
      <c r="C5" s="24" t="s">
        <v>109</v>
      </c>
      <c r="D5" s="42" t="n">
        <v>10603.0612604756</v>
      </c>
      <c r="E5" s="43" t="n">
        <v>12730.673250522</v>
      </c>
      <c r="F5" s="70" t="n">
        <v>0.167124860420024</v>
      </c>
      <c r="G5" s="42" t="n">
        <v>9200</v>
      </c>
      <c r="H5" s="43" t="n">
        <v>10750</v>
      </c>
      <c r="I5" s="70" t="n">
        <v>0.144186046511628</v>
      </c>
      <c r="J5" s="71" t="n">
        <v>322.297823315804</v>
      </c>
      <c r="K5" s="72" t="n">
        <v>322.528890525533</v>
      </c>
      <c r="L5" s="73" t="b">
        <f aca="false">TRUE()</f>
        <v>1</v>
      </c>
      <c r="M5" s="108" t="n">
        <v>3273</v>
      </c>
      <c r="N5" s="109" t="n">
        <v>967</v>
      </c>
      <c r="O5" s="109" t="n">
        <v>2306</v>
      </c>
      <c r="P5" s="109" t="n">
        <v>888328</v>
      </c>
      <c r="Q5" s="109" t="n">
        <v>261441</v>
      </c>
      <c r="R5" s="110" t="n">
        <v>626887</v>
      </c>
    </row>
    <row r="6" customFormat="false" ht="15" hidden="false" customHeight="false" outlineLevel="0" collapsed="false">
      <c r="A6" s="23" t="s">
        <v>53</v>
      </c>
      <c r="B6" s="24" t="s">
        <v>119</v>
      </c>
      <c r="C6" s="24" t="s">
        <v>110</v>
      </c>
      <c r="D6" s="42" t="n">
        <v>11526.0635759752</v>
      </c>
      <c r="E6" s="43" t="n">
        <v>12919.703967112</v>
      </c>
      <c r="F6" s="70" t="n">
        <v>0.107869374924102</v>
      </c>
      <c r="G6" s="42" t="n">
        <v>10000</v>
      </c>
      <c r="H6" s="43" t="n">
        <v>10750</v>
      </c>
      <c r="I6" s="70" t="n">
        <v>0.0697674418604651</v>
      </c>
      <c r="J6" s="71" t="n">
        <v>321.102352336153</v>
      </c>
      <c r="K6" s="72" t="n">
        <v>321.278115374327</v>
      </c>
      <c r="L6" s="128" t="b">
        <f aca="false">FALSE()</f>
        <v>0</v>
      </c>
      <c r="M6" s="108" t="n">
        <v>515</v>
      </c>
      <c r="N6" s="109" t="n">
        <v>278</v>
      </c>
      <c r="O6" s="109" t="n">
        <v>237</v>
      </c>
      <c r="P6" s="109" t="n">
        <v>137858</v>
      </c>
      <c r="Q6" s="109" t="n">
        <v>64883</v>
      </c>
      <c r="R6" s="110" t="n">
        <v>72975</v>
      </c>
    </row>
    <row r="7" customFormat="false" ht="15" hidden="false" customHeight="false" outlineLevel="0" collapsed="false">
      <c r="A7" s="23" t="s">
        <v>53</v>
      </c>
      <c r="B7" s="24" t="s">
        <v>119</v>
      </c>
      <c r="C7" s="24" t="s">
        <v>111</v>
      </c>
      <c r="D7" s="42" t="n">
        <v>17953.1135682994</v>
      </c>
      <c r="E7" s="43" t="n">
        <v>20235.9816804328</v>
      </c>
      <c r="F7" s="70" t="n">
        <v>0.112812323522753</v>
      </c>
      <c r="G7" s="42" t="n">
        <v>15000</v>
      </c>
      <c r="H7" s="43" t="n">
        <v>16000</v>
      </c>
      <c r="I7" s="70" t="n">
        <v>0.0625</v>
      </c>
      <c r="J7" s="71" t="n">
        <v>322.434884484928</v>
      </c>
      <c r="K7" s="72" t="n">
        <v>322.518864248212</v>
      </c>
      <c r="L7" s="73" t="b">
        <f aca="false">TRUE()</f>
        <v>1</v>
      </c>
      <c r="M7" s="108" t="n">
        <v>3905</v>
      </c>
      <c r="N7" s="109" t="n">
        <v>1547</v>
      </c>
      <c r="O7" s="109" t="n">
        <v>2358</v>
      </c>
      <c r="P7" s="109" t="n">
        <v>990751</v>
      </c>
      <c r="Q7" s="109" t="n">
        <v>399689</v>
      </c>
      <c r="R7" s="110" t="n">
        <v>591062</v>
      </c>
    </row>
    <row r="8" customFormat="false" ht="15" hidden="false" customHeight="false" outlineLevel="0" collapsed="false">
      <c r="A8" s="29" t="s">
        <v>53</v>
      </c>
      <c r="B8" s="30" t="s">
        <v>119</v>
      </c>
      <c r="C8" s="30" t="s">
        <v>112</v>
      </c>
      <c r="D8" s="48" t="n">
        <v>22697.4728070643</v>
      </c>
      <c r="E8" s="49" t="n">
        <v>31911.2156983846</v>
      </c>
      <c r="F8" s="62" t="n">
        <v>0.288730550988902</v>
      </c>
      <c r="G8" s="48" t="n">
        <v>20000</v>
      </c>
      <c r="H8" s="49" t="n">
        <v>25000</v>
      </c>
      <c r="I8" s="62" t="n">
        <v>0.2</v>
      </c>
      <c r="J8" s="63" t="n">
        <v>320.860471162618</v>
      </c>
      <c r="K8" s="64" t="n">
        <v>321.275909163574</v>
      </c>
      <c r="L8" s="129" t="b">
        <f aca="false">FALSE()</f>
        <v>0</v>
      </c>
      <c r="M8" s="122" t="n">
        <v>510</v>
      </c>
      <c r="N8" s="123" t="n">
        <v>230</v>
      </c>
      <c r="O8" s="123" t="n">
        <v>280</v>
      </c>
      <c r="P8" s="123" t="n">
        <v>129144</v>
      </c>
      <c r="Q8" s="123" t="n">
        <v>56283</v>
      </c>
      <c r="R8" s="124" t="n">
        <v>72861</v>
      </c>
    </row>
    <row r="9" customFormat="false" ht="15" hidden="false" customHeight="false" outlineLevel="0" collapsed="false">
      <c r="A9" s="23" t="s">
        <v>53</v>
      </c>
      <c r="B9" s="24" t="s">
        <v>120</v>
      </c>
      <c r="C9" s="24" t="s">
        <v>107</v>
      </c>
      <c r="D9" s="42" t="n">
        <v>7525.69463982999</v>
      </c>
      <c r="E9" s="43" t="n">
        <v>9640.20691060647</v>
      </c>
      <c r="F9" s="70" t="n">
        <v>0.219343038005753</v>
      </c>
      <c r="G9" s="42" t="n">
        <v>7224</v>
      </c>
      <c r="H9" s="43" t="n">
        <v>8600</v>
      </c>
      <c r="I9" s="70" t="n">
        <v>0.16</v>
      </c>
      <c r="J9" s="71" t="n">
        <v>322.553227767805</v>
      </c>
      <c r="K9" s="72" t="n">
        <v>322.639884394264</v>
      </c>
      <c r="L9" s="73" t="b">
        <f aca="false">TRUE()</f>
        <v>1</v>
      </c>
      <c r="M9" s="108" t="n">
        <v>7879</v>
      </c>
      <c r="N9" s="109" t="n">
        <v>2400</v>
      </c>
      <c r="O9" s="109" t="n">
        <v>5479</v>
      </c>
      <c r="P9" s="109" t="n">
        <v>2638899</v>
      </c>
      <c r="Q9" s="109" t="n">
        <v>735014</v>
      </c>
      <c r="R9" s="110" t="n">
        <v>1903885</v>
      </c>
    </row>
    <row r="10" customFormat="false" ht="15" hidden="false" customHeight="false" outlineLevel="0" collapsed="false">
      <c r="A10" s="23" t="s">
        <v>53</v>
      </c>
      <c r="B10" s="24" t="s">
        <v>120</v>
      </c>
      <c r="C10" s="24" t="s">
        <v>108</v>
      </c>
      <c r="D10" s="42" t="n">
        <v>8975.09129399037</v>
      </c>
      <c r="E10" s="43" t="n">
        <v>11517.8713606439</v>
      </c>
      <c r="F10" s="70" t="n">
        <v>0.220768229391944</v>
      </c>
      <c r="G10" s="42" t="n">
        <v>8400</v>
      </c>
      <c r="H10" s="43" t="n">
        <v>10750</v>
      </c>
      <c r="I10" s="70" t="n">
        <v>0.218604651162791</v>
      </c>
      <c r="J10" s="71" t="n">
        <v>322.617283258532</v>
      </c>
      <c r="K10" s="72" t="n">
        <v>322.654087784589</v>
      </c>
      <c r="L10" s="73" t="b">
        <f aca="false">TRUE()</f>
        <v>1</v>
      </c>
      <c r="M10" s="108" t="n">
        <v>13451</v>
      </c>
      <c r="N10" s="109" t="n">
        <v>4734</v>
      </c>
      <c r="O10" s="109" t="n">
        <v>8717</v>
      </c>
      <c r="P10" s="109" t="n">
        <v>3920609</v>
      </c>
      <c r="Q10" s="109" t="n">
        <v>1345806</v>
      </c>
      <c r="R10" s="110" t="n">
        <v>2574803</v>
      </c>
    </row>
    <row r="11" customFormat="false" ht="15" hidden="false" customHeight="false" outlineLevel="0" collapsed="false">
      <c r="A11" s="23" t="s">
        <v>53</v>
      </c>
      <c r="B11" s="24" t="s">
        <v>120</v>
      </c>
      <c r="C11" s="24" t="s">
        <v>109</v>
      </c>
      <c r="D11" s="42" t="n">
        <v>10245.2870402519</v>
      </c>
      <c r="E11" s="43" t="n">
        <v>13228.6096497309</v>
      </c>
      <c r="F11" s="70" t="n">
        <v>0.225520495991028</v>
      </c>
      <c r="G11" s="42" t="n">
        <v>9000</v>
      </c>
      <c r="H11" s="43" t="n">
        <v>11610</v>
      </c>
      <c r="I11" s="70" t="n">
        <v>0.224806201550388</v>
      </c>
      <c r="J11" s="71" t="n">
        <v>322.588737991678</v>
      </c>
      <c r="K11" s="72" t="n">
        <v>322.638192903701</v>
      </c>
      <c r="L11" s="73" t="b">
        <f aca="false">TRUE()</f>
        <v>1</v>
      </c>
      <c r="M11" s="108" t="n">
        <v>10105</v>
      </c>
      <c r="N11" s="109" t="n">
        <v>3616</v>
      </c>
      <c r="O11" s="109" t="n">
        <v>6489</v>
      </c>
      <c r="P11" s="109" t="n">
        <v>2828721</v>
      </c>
      <c r="Q11" s="109" t="n">
        <v>982141</v>
      </c>
      <c r="R11" s="110" t="n">
        <v>1846580</v>
      </c>
    </row>
    <row r="12" customFormat="false" ht="15" hidden="false" customHeight="false" outlineLevel="0" collapsed="false">
      <c r="A12" s="23" t="s">
        <v>53</v>
      </c>
      <c r="B12" s="24" t="s">
        <v>120</v>
      </c>
      <c r="C12" s="24" t="s">
        <v>110</v>
      </c>
      <c r="D12" s="42" t="n">
        <v>11230.9890303711</v>
      </c>
      <c r="E12" s="43" t="n">
        <v>14717.1016624257</v>
      </c>
      <c r="F12" s="70" t="n">
        <v>0.236874943994919</v>
      </c>
      <c r="G12" s="42" t="n">
        <v>10000</v>
      </c>
      <c r="H12" s="43" t="n">
        <v>12900</v>
      </c>
      <c r="I12" s="70" t="n">
        <v>0.224806201550388</v>
      </c>
      <c r="J12" s="71" t="n">
        <v>322.121454356136</v>
      </c>
      <c r="K12" s="72" t="n">
        <v>321.995249311675</v>
      </c>
      <c r="L12" s="73" t="b">
        <f aca="false">TRUE()</f>
        <v>1</v>
      </c>
      <c r="M12" s="108" t="n">
        <v>1171</v>
      </c>
      <c r="N12" s="109" t="n">
        <v>646</v>
      </c>
      <c r="O12" s="109" t="n">
        <v>525</v>
      </c>
      <c r="P12" s="109" t="n">
        <v>329020</v>
      </c>
      <c r="Q12" s="109" t="n">
        <v>180863</v>
      </c>
      <c r="R12" s="110" t="n">
        <v>148157</v>
      </c>
    </row>
    <row r="13" customFormat="false" ht="15" hidden="false" customHeight="false" outlineLevel="0" collapsed="false">
      <c r="A13" s="23" t="s">
        <v>53</v>
      </c>
      <c r="B13" s="24" t="s">
        <v>120</v>
      </c>
      <c r="C13" s="24" t="s">
        <v>111</v>
      </c>
      <c r="D13" s="42" t="n">
        <v>15461.3906223261</v>
      </c>
      <c r="E13" s="43" t="n">
        <v>19312.3637972647</v>
      </c>
      <c r="F13" s="70" t="n">
        <v>0.199404548058691</v>
      </c>
      <c r="G13" s="42" t="n">
        <v>13000</v>
      </c>
      <c r="H13" s="43" t="n">
        <v>15480</v>
      </c>
      <c r="I13" s="70" t="n">
        <v>0.160206718346253</v>
      </c>
      <c r="J13" s="71" t="n">
        <v>322.558847406357</v>
      </c>
      <c r="K13" s="72" t="n">
        <v>322.598982658391</v>
      </c>
      <c r="L13" s="73" t="b">
        <f aca="false">TRUE()</f>
        <v>1</v>
      </c>
      <c r="M13" s="108" t="n">
        <v>7429</v>
      </c>
      <c r="N13" s="109" t="n">
        <v>3152</v>
      </c>
      <c r="O13" s="109" t="n">
        <v>4277</v>
      </c>
      <c r="P13" s="109" t="n">
        <v>1853124</v>
      </c>
      <c r="Q13" s="109" t="n">
        <v>765499</v>
      </c>
      <c r="R13" s="110" t="n">
        <v>1087625</v>
      </c>
    </row>
    <row r="14" customFormat="false" ht="15" hidden="false" customHeight="false" outlineLevel="0" collapsed="false">
      <c r="A14" s="29" t="s">
        <v>53</v>
      </c>
      <c r="B14" s="30" t="s">
        <v>120</v>
      </c>
      <c r="C14" s="30" t="s">
        <v>112</v>
      </c>
      <c r="D14" s="48" t="n">
        <v>23840.3476207287</v>
      </c>
      <c r="E14" s="49" t="n">
        <v>29388.5629222291</v>
      </c>
      <c r="F14" s="62" t="n">
        <v>0.188788247869849</v>
      </c>
      <c r="G14" s="48" t="n">
        <v>19500</v>
      </c>
      <c r="H14" s="49" t="n">
        <v>24000</v>
      </c>
      <c r="I14" s="62" t="n">
        <v>0.1875</v>
      </c>
      <c r="J14" s="63" t="n">
        <v>321.435631661946</v>
      </c>
      <c r="K14" s="64" t="n">
        <v>321.502066248179</v>
      </c>
      <c r="L14" s="65" t="b">
        <f aca="false">TRUE()</f>
        <v>1</v>
      </c>
      <c r="M14" s="122" t="n">
        <v>795</v>
      </c>
      <c r="N14" s="123" t="n">
        <v>383</v>
      </c>
      <c r="O14" s="123" t="n">
        <v>412</v>
      </c>
      <c r="P14" s="123" t="n">
        <v>168889</v>
      </c>
      <c r="Q14" s="123" t="n">
        <v>82147</v>
      </c>
      <c r="R14" s="124" t="n">
        <v>86742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D1:F1"/>
    <mergeCell ref="G1:I1"/>
    <mergeCell ref="J1:L1"/>
    <mergeCell ref="M1:R1"/>
  </mergeCells>
  <hyperlinks>
    <hyperlink ref="T1" location="'Índice'!A1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3" activeCellId="0" sqref="D3"/>
    </sheetView>
  </sheetViews>
  <sheetFormatPr defaultColWidth="14.433593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8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8" min="7" style="0" width="16"/>
    <col collapsed="false" customWidth="true" hidden="false" outlineLevel="0" max="9" min="9" style="0" width="17"/>
    <col collapsed="false" customWidth="true" hidden="false" outlineLevel="0" max="11" min="10" style="0" width="13"/>
    <col collapsed="false" customWidth="true" hidden="false" outlineLevel="0" max="18" min="12" style="0" width="12"/>
    <col collapsed="false" customWidth="true" hidden="false" outlineLevel="0" max="19" min="19" style="0" width="8.71"/>
    <col collapsed="false" customWidth="true" hidden="false" outlineLevel="0" max="20" min="20" style="0" width="20"/>
    <col collapsed="false" customWidth="true" hidden="false" outlineLevel="0" max="26" min="21" style="0" width="8.71"/>
  </cols>
  <sheetData>
    <row r="1" customFormat="false" ht="15" hidden="false" customHeight="false" outlineLevel="0" collapsed="false">
      <c r="A1" s="56"/>
      <c r="B1" s="101" t="s">
        <v>20</v>
      </c>
      <c r="C1" s="101" t="s">
        <v>16</v>
      </c>
      <c r="D1" s="56" t="s">
        <v>36</v>
      </c>
      <c r="E1" s="56"/>
      <c r="F1" s="56"/>
      <c r="G1" s="56" t="s">
        <v>37</v>
      </c>
      <c r="H1" s="56"/>
      <c r="I1" s="56"/>
      <c r="J1" s="57" t="s">
        <v>38</v>
      </c>
      <c r="K1" s="57"/>
      <c r="L1" s="57"/>
      <c r="M1" s="106" t="s">
        <v>122</v>
      </c>
      <c r="N1" s="106"/>
      <c r="O1" s="106"/>
      <c r="P1" s="106"/>
      <c r="Q1" s="106"/>
      <c r="R1" s="106"/>
      <c r="T1" s="15" t="s">
        <v>39</v>
      </c>
    </row>
    <row r="2" customFormat="false" ht="15" hidden="false" customHeight="false" outlineLevel="0" collapsed="false">
      <c r="A2" s="16" t="s">
        <v>40</v>
      </c>
      <c r="B2" s="17" t="s">
        <v>123</v>
      </c>
      <c r="C2" s="17" t="s">
        <v>124</v>
      </c>
      <c r="D2" s="16" t="s">
        <v>43</v>
      </c>
      <c r="E2" s="17" t="s">
        <v>44</v>
      </c>
      <c r="F2" s="17" t="s">
        <v>45</v>
      </c>
      <c r="G2" s="16" t="s">
        <v>47</v>
      </c>
      <c r="H2" s="17" t="s">
        <v>48</v>
      </c>
      <c r="I2" s="17" t="s">
        <v>49</v>
      </c>
      <c r="J2" s="59" t="s">
        <v>50</v>
      </c>
      <c r="K2" s="60" t="s">
        <v>51</v>
      </c>
      <c r="L2" s="60" t="s">
        <v>52</v>
      </c>
      <c r="M2" s="59" t="s">
        <v>125</v>
      </c>
      <c r="N2" s="60" t="s">
        <v>126</v>
      </c>
      <c r="O2" s="60" t="s">
        <v>127</v>
      </c>
      <c r="P2" s="60" t="s">
        <v>128</v>
      </c>
      <c r="Q2" s="60" t="s">
        <v>129</v>
      </c>
      <c r="R2" s="107" t="s">
        <v>130</v>
      </c>
    </row>
    <row r="3" customFormat="false" ht="15" hidden="false" customHeight="false" outlineLevel="0" collapsed="false">
      <c r="A3" s="111" t="s">
        <v>53</v>
      </c>
      <c r="B3" s="112" t="s">
        <v>119</v>
      </c>
      <c r="C3" s="112" t="s">
        <v>98</v>
      </c>
      <c r="D3" s="113" t="n">
        <v>26765.0966264767</v>
      </c>
      <c r="E3" s="114" t="n">
        <v>29607.6213052632</v>
      </c>
      <c r="F3" s="115" t="n">
        <v>0.0960065197227168</v>
      </c>
      <c r="G3" s="113" t="n">
        <v>24000</v>
      </c>
      <c r="H3" s="114" t="n">
        <v>21500</v>
      </c>
      <c r="I3" s="115" t="n">
        <v>-0.116279069767442</v>
      </c>
      <c r="J3" s="116" t="n">
        <v>320.185524341935</v>
      </c>
      <c r="K3" s="117" t="n">
        <v>321.243980497407</v>
      </c>
      <c r="L3" s="138" t="b">
        <f aca="false">FALSE()</f>
        <v>0</v>
      </c>
      <c r="M3" s="119" t="n">
        <v>413</v>
      </c>
      <c r="N3" s="120" t="n">
        <v>145</v>
      </c>
      <c r="O3" s="120" t="n">
        <v>268</v>
      </c>
      <c r="P3" s="120" t="n">
        <v>112305</v>
      </c>
      <c r="Q3" s="120" t="n">
        <v>41055</v>
      </c>
      <c r="R3" s="121" t="n">
        <v>71250</v>
      </c>
    </row>
    <row r="4" customFormat="false" ht="15" hidden="false" customHeight="false" outlineLevel="0" collapsed="false">
      <c r="A4" s="23" t="s">
        <v>53</v>
      </c>
      <c r="B4" s="24" t="s">
        <v>119</v>
      </c>
      <c r="C4" s="24" t="s">
        <v>99</v>
      </c>
      <c r="D4" s="42" t="n">
        <v>19808.062692408</v>
      </c>
      <c r="E4" s="43" t="n">
        <v>23348.4868446261</v>
      </c>
      <c r="F4" s="70" t="n">
        <v>0.151633987066401</v>
      </c>
      <c r="G4" s="42" t="n">
        <v>16000</v>
      </c>
      <c r="H4" s="43" t="n">
        <v>20000</v>
      </c>
      <c r="I4" s="70" t="n">
        <v>0.2</v>
      </c>
      <c r="J4" s="71" t="n">
        <v>320.008645002637</v>
      </c>
      <c r="K4" s="72" t="n">
        <v>321.045531146388</v>
      </c>
      <c r="L4" s="128" t="b">
        <f aca="false">FALSE()</f>
        <v>0</v>
      </c>
      <c r="M4" s="108" t="n">
        <v>380</v>
      </c>
      <c r="N4" s="109" t="n">
        <v>133</v>
      </c>
      <c r="O4" s="109" t="n">
        <v>247</v>
      </c>
      <c r="P4" s="109" t="n">
        <v>100966</v>
      </c>
      <c r="Q4" s="109" t="n">
        <v>38330</v>
      </c>
      <c r="R4" s="110" t="n">
        <v>62636</v>
      </c>
    </row>
    <row r="5" customFormat="false" ht="15" hidden="false" customHeight="false" outlineLevel="0" collapsed="false">
      <c r="A5" s="23" t="s">
        <v>53</v>
      </c>
      <c r="B5" s="24" t="s">
        <v>119</v>
      </c>
      <c r="C5" s="24" t="s">
        <v>100</v>
      </c>
      <c r="D5" s="42" t="n">
        <v>19785.6585296425</v>
      </c>
      <c r="E5" s="43" t="n">
        <v>24997.1093102149</v>
      </c>
      <c r="F5" s="70" t="n">
        <v>0.208482137510307</v>
      </c>
      <c r="G5" s="42" t="n">
        <v>17200</v>
      </c>
      <c r="H5" s="43" t="n">
        <v>20000</v>
      </c>
      <c r="I5" s="70" t="n">
        <v>0.14</v>
      </c>
      <c r="J5" s="71" t="n">
        <v>322.039063827998</v>
      </c>
      <c r="K5" s="72" t="n">
        <v>322.206028933499</v>
      </c>
      <c r="L5" s="73" t="b">
        <f aca="false">TRUE()</f>
        <v>1</v>
      </c>
      <c r="M5" s="108" t="n">
        <v>1325</v>
      </c>
      <c r="N5" s="109" t="n">
        <v>570</v>
      </c>
      <c r="O5" s="109" t="n">
        <v>755</v>
      </c>
      <c r="P5" s="109" t="n">
        <v>370324</v>
      </c>
      <c r="Q5" s="109" t="n">
        <v>158084</v>
      </c>
      <c r="R5" s="110" t="n">
        <v>212240</v>
      </c>
    </row>
    <row r="6" customFormat="false" ht="15" hidden="false" customHeight="false" outlineLevel="0" collapsed="false">
      <c r="A6" s="23" t="s">
        <v>53</v>
      </c>
      <c r="B6" s="24" t="s">
        <v>119</v>
      </c>
      <c r="C6" s="24" t="s">
        <v>101</v>
      </c>
      <c r="D6" s="130" t="n">
        <v>14263.0357817059</v>
      </c>
      <c r="E6" s="131" t="n">
        <v>15294.0886190863</v>
      </c>
      <c r="F6" s="132" t="n">
        <v>0.0674151211660791</v>
      </c>
      <c r="G6" s="42" t="n">
        <v>12470</v>
      </c>
      <c r="H6" s="43" t="n">
        <v>12900</v>
      </c>
      <c r="I6" s="70" t="n">
        <v>0.0333333333333333</v>
      </c>
      <c r="J6" s="136" t="n">
        <v>321.584780737424</v>
      </c>
      <c r="K6" s="72" t="n">
        <v>322.29870762836</v>
      </c>
      <c r="L6" s="73" t="b">
        <f aca="false">TRUE()</f>
        <v>1</v>
      </c>
      <c r="M6" s="133" t="n">
        <v>1392</v>
      </c>
      <c r="N6" s="134" t="n">
        <v>381</v>
      </c>
      <c r="O6" s="134" t="n">
        <v>1011</v>
      </c>
      <c r="P6" s="134" t="n">
        <v>355399</v>
      </c>
      <c r="Q6" s="134" t="n">
        <v>93232</v>
      </c>
      <c r="R6" s="135" t="n">
        <v>262167</v>
      </c>
    </row>
    <row r="7" customFormat="false" ht="15" hidden="false" customHeight="false" outlineLevel="0" collapsed="false">
      <c r="A7" s="23" t="s">
        <v>53</v>
      </c>
      <c r="B7" s="24" t="s">
        <v>119</v>
      </c>
      <c r="C7" s="24" t="s">
        <v>102</v>
      </c>
      <c r="D7" s="42" t="n">
        <v>13608.217411272</v>
      </c>
      <c r="E7" s="43" t="n">
        <v>17446.4444191738</v>
      </c>
      <c r="F7" s="70" t="n">
        <v>0.220000529373399</v>
      </c>
      <c r="G7" s="42" t="n">
        <v>12000</v>
      </c>
      <c r="H7" s="43" t="n">
        <v>14620</v>
      </c>
      <c r="I7" s="70" t="n">
        <v>0.179206566347469</v>
      </c>
      <c r="J7" s="71" t="n">
        <v>320.798611973699</v>
      </c>
      <c r="K7" s="72" t="n">
        <v>321.752759540681</v>
      </c>
      <c r="L7" s="128" t="b">
        <f aca="false">FALSE()</f>
        <v>0</v>
      </c>
      <c r="M7" s="108" t="n">
        <v>651</v>
      </c>
      <c r="N7" s="109" t="n">
        <v>214</v>
      </c>
      <c r="O7" s="109" t="n">
        <v>437</v>
      </c>
      <c r="P7" s="109" t="n">
        <v>164357</v>
      </c>
      <c r="Q7" s="109" t="n">
        <v>54436</v>
      </c>
      <c r="R7" s="110" t="n">
        <v>109921</v>
      </c>
    </row>
    <row r="8" customFormat="false" ht="15" hidden="false" customHeight="false" outlineLevel="0" collapsed="false">
      <c r="A8" s="23" t="s">
        <v>53</v>
      </c>
      <c r="B8" s="24" t="s">
        <v>119</v>
      </c>
      <c r="C8" s="24" t="s">
        <v>103</v>
      </c>
      <c r="D8" s="130" t="n">
        <v>14453.8801388147</v>
      </c>
      <c r="E8" s="131" t="n">
        <v>13492.3132835206</v>
      </c>
      <c r="F8" s="132" t="n">
        <v>-0.0712677533561722</v>
      </c>
      <c r="G8" s="42" t="n">
        <v>10750</v>
      </c>
      <c r="H8" s="43" t="n">
        <v>12000</v>
      </c>
      <c r="I8" s="70" t="n">
        <v>0.104166666666667</v>
      </c>
      <c r="J8" s="136" t="n">
        <v>320.727042561199</v>
      </c>
      <c r="K8" s="137" t="n">
        <v>322.13249796635</v>
      </c>
      <c r="L8" s="128" t="b">
        <f aca="false">FALSE()</f>
        <v>0</v>
      </c>
      <c r="M8" s="133" t="n">
        <v>869</v>
      </c>
      <c r="N8" s="134" t="n">
        <v>213</v>
      </c>
      <c r="O8" s="134" t="n">
        <v>656</v>
      </c>
      <c r="P8" s="134" t="n">
        <v>236868</v>
      </c>
      <c r="Q8" s="134" t="n">
        <v>52444</v>
      </c>
      <c r="R8" s="135" t="n">
        <v>184424</v>
      </c>
    </row>
    <row r="9" customFormat="false" ht="15" hidden="false" customHeight="false" outlineLevel="0" collapsed="false">
      <c r="A9" s="23" t="s">
        <v>53</v>
      </c>
      <c r="B9" s="24" t="s">
        <v>119</v>
      </c>
      <c r="C9" s="24" t="s">
        <v>104</v>
      </c>
      <c r="D9" s="130" t="n">
        <v>10729.939480199</v>
      </c>
      <c r="E9" s="131" t="n">
        <v>12304.9791672228</v>
      </c>
      <c r="F9" s="132" t="n">
        <v>0.128000191273733</v>
      </c>
      <c r="G9" s="130" t="n">
        <v>8600</v>
      </c>
      <c r="H9" s="43" t="n">
        <v>10750</v>
      </c>
      <c r="I9" s="132" t="n">
        <v>0.2</v>
      </c>
      <c r="J9" s="136" t="n">
        <v>322.432645232763</v>
      </c>
      <c r="K9" s="137" t="n">
        <v>322.587859719417</v>
      </c>
      <c r="L9" s="73" t="b">
        <f aca="false">TRUE()</f>
        <v>1</v>
      </c>
      <c r="M9" s="133" t="n">
        <v>5042</v>
      </c>
      <c r="N9" s="134" t="n">
        <v>1406</v>
      </c>
      <c r="O9" s="134" t="n">
        <v>3636</v>
      </c>
      <c r="P9" s="134" t="n">
        <v>1370309</v>
      </c>
      <c r="Q9" s="134" t="n">
        <v>396267</v>
      </c>
      <c r="R9" s="135" t="n">
        <v>974042</v>
      </c>
    </row>
    <row r="10" customFormat="false" ht="15" hidden="false" customHeight="false" outlineLevel="0" collapsed="false">
      <c r="A10" s="29" t="s">
        <v>53</v>
      </c>
      <c r="B10" s="30" t="s">
        <v>119</v>
      </c>
      <c r="C10" s="30" t="s">
        <v>105</v>
      </c>
      <c r="D10" s="139" t="n">
        <v>8675.64550657717</v>
      </c>
      <c r="E10" s="140" t="n">
        <v>9004.60387735198</v>
      </c>
      <c r="F10" s="141" t="n">
        <v>0.0365322423124234</v>
      </c>
      <c r="G10" s="139" t="n">
        <v>7740</v>
      </c>
      <c r="H10" s="140" t="n">
        <v>8000</v>
      </c>
      <c r="I10" s="141" t="n">
        <v>0.0325</v>
      </c>
      <c r="J10" s="142" t="n">
        <v>322.515106685464</v>
      </c>
      <c r="K10" s="146" t="n">
        <v>322.595656246743</v>
      </c>
      <c r="L10" s="65" t="b">
        <f aca="false">TRUE()</f>
        <v>1</v>
      </c>
      <c r="M10" s="143" t="n">
        <v>5486</v>
      </c>
      <c r="N10" s="144" t="n">
        <v>2088</v>
      </c>
      <c r="O10" s="144" t="n">
        <v>3398</v>
      </c>
      <c r="P10" s="144" t="n">
        <v>1629643</v>
      </c>
      <c r="Q10" s="144" t="n">
        <v>578668</v>
      </c>
      <c r="R10" s="145" t="n">
        <v>1050975</v>
      </c>
    </row>
    <row r="11" customFormat="false" ht="15" hidden="false" customHeight="false" outlineLevel="0" collapsed="false">
      <c r="A11" s="23" t="s">
        <v>53</v>
      </c>
      <c r="B11" s="24" t="s">
        <v>120</v>
      </c>
      <c r="C11" s="24" t="s">
        <v>98</v>
      </c>
      <c r="D11" s="42" t="n">
        <v>23011.3642166344</v>
      </c>
      <c r="E11" s="43" t="n">
        <v>28378.002316236</v>
      </c>
      <c r="F11" s="70" t="n">
        <v>0.189112610528301</v>
      </c>
      <c r="G11" s="42" t="n">
        <v>17200</v>
      </c>
      <c r="H11" s="43" t="n">
        <v>20000</v>
      </c>
      <c r="I11" s="70" t="n">
        <v>0.14</v>
      </c>
      <c r="J11" s="71" t="n">
        <v>321.444317350056</v>
      </c>
      <c r="K11" s="72" t="n">
        <v>321.971786555416</v>
      </c>
      <c r="L11" s="128" t="b">
        <f aca="false">FALSE()</f>
        <v>0</v>
      </c>
      <c r="M11" s="108" t="n">
        <v>835</v>
      </c>
      <c r="N11" s="109" t="n">
        <v>305</v>
      </c>
      <c r="O11" s="109" t="n">
        <v>530</v>
      </c>
      <c r="P11" s="109" t="n">
        <v>226056</v>
      </c>
      <c r="Q11" s="109" t="n">
        <v>82720</v>
      </c>
      <c r="R11" s="110" t="n">
        <v>143336</v>
      </c>
    </row>
    <row r="12" customFormat="false" ht="15" hidden="false" customHeight="false" outlineLevel="0" collapsed="false">
      <c r="A12" s="23" t="s">
        <v>53</v>
      </c>
      <c r="B12" s="24" t="s">
        <v>120</v>
      </c>
      <c r="C12" s="24" t="s">
        <v>99</v>
      </c>
      <c r="D12" s="42" t="n">
        <v>19379.9267882822</v>
      </c>
      <c r="E12" s="43" t="n">
        <v>20058.1131022225</v>
      </c>
      <c r="F12" s="70" t="n">
        <v>0.0338110723817354</v>
      </c>
      <c r="G12" s="42" t="n">
        <v>16000</v>
      </c>
      <c r="H12" s="43" t="n">
        <v>17000</v>
      </c>
      <c r="I12" s="70" t="n">
        <v>0.0588235294117647</v>
      </c>
      <c r="J12" s="71" t="n">
        <v>321.0257322188</v>
      </c>
      <c r="K12" s="72" t="n">
        <v>321.801232771125</v>
      </c>
      <c r="L12" s="128" t="b">
        <f aca="false">FALSE()</f>
        <v>0</v>
      </c>
      <c r="M12" s="108" t="n">
        <v>784</v>
      </c>
      <c r="N12" s="109" t="n">
        <v>291</v>
      </c>
      <c r="O12" s="109" t="n">
        <v>493</v>
      </c>
      <c r="P12" s="109" t="n">
        <v>177793</v>
      </c>
      <c r="Q12" s="109" t="n">
        <v>61889</v>
      </c>
      <c r="R12" s="110" t="n">
        <v>115904</v>
      </c>
    </row>
    <row r="13" customFormat="false" ht="15" hidden="false" customHeight="false" outlineLevel="0" collapsed="false">
      <c r="A13" s="23" t="s">
        <v>53</v>
      </c>
      <c r="B13" s="24" t="s">
        <v>120</v>
      </c>
      <c r="C13" s="24" t="s">
        <v>100</v>
      </c>
      <c r="D13" s="42" t="n">
        <v>19105.3107536784</v>
      </c>
      <c r="E13" s="43" t="n">
        <v>22906.676208708</v>
      </c>
      <c r="F13" s="70" t="n">
        <v>0.165950110805886</v>
      </c>
      <c r="G13" s="42" t="n">
        <v>16000</v>
      </c>
      <c r="H13" s="43" t="n">
        <v>20000</v>
      </c>
      <c r="I13" s="70" t="n">
        <v>0.2</v>
      </c>
      <c r="J13" s="71" t="n">
        <v>322.332690805692</v>
      </c>
      <c r="K13" s="72" t="n">
        <v>322.364627509864</v>
      </c>
      <c r="L13" s="73" t="b">
        <f aca="false">TRUE()</f>
        <v>1</v>
      </c>
      <c r="M13" s="108" t="n">
        <v>2440</v>
      </c>
      <c r="N13" s="109" t="n">
        <v>1190</v>
      </c>
      <c r="O13" s="109" t="n">
        <v>1250</v>
      </c>
      <c r="P13" s="109" t="n">
        <v>601142</v>
      </c>
      <c r="Q13" s="109" t="n">
        <v>286674</v>
      </c>
      <c r="R13" s="110" t="n">
        <v>314468</v>
      </c>
    </row>
    <row r="14" customFormat="false" ht="15" hidden="false" customHeight="false" outlineLevel="0" collapsed="false">
      <c r="A14" s="23" t="s">
        <v>53</v>
      </c>
      <c r="B14" s="24" t="s">
        <v>120</v>
      </c>
      <c r="C14" s="24" t="s">
        <v>101</v>
      </c>
      <c r="D14" s="42" t="n">
        <v>14006.9727598103</v>
      </c>
      <c r="E14" s="131" t="n">
        <v>15326.7189152258</v>
      </c>
      <c r="F14" s="132" t="n">
        <v>0.0861075460909259</v>
      </c>
      <c r="G14" s="42" t="n">
        <v>12900</v>
      </c>
      <c r="H14" s="43" t="n">
        <v>12900</v>
      </c>
      <c r="I14" s="70" t="n">
        <v>0</v>
      </c>
      <c r="J14" s="71" t="n">
        <v>322.216312148742</v>
      </c>
      <c r="K14" s="72" t="n">
        <v>322.533157279884</v>
      </c>
      <c r="L14" s="73" t="b">
        <f aca="false">TRUE()</f>
        <v>1</v>
      </c>
      <c r="M14" s="133" t="n">
        <v>3275</v>
      </c>
      <c r="N14" s="109" t="n">
        <v>834</v>
      </c>
      <c r="O14" s="134" t="n">
        <v>2441</v>
      </c>
      <c r="P14" s="134" t="n">
        <v>860817</v>
      </c>
      <c r="Q14" s="109" t="n">
        <v>216812</v>
      </c>
      <c r="R14" s="135" t="n">
        <v>644005</v>
      </c>
    </row>
    <row r="15" customFormat="false" ht="15" hidden="false" customHeight="false" outlineLevel="0" collapsed="false">
      <c r="A15" s="23" t="s">
        <v>53</v>
      </c>
      <c r="B15" s="24" t="s">
        <v>120</v>
      </c>
      <c r="C15" s="24" t="s">
        <v>102</v>
      </c>
      <c r="D15" s="42" t="n">
        <v>11851.5142296767</v>
      </c>
      <c r="E15" s="43" t="n">
        <v>17447.7791390219</v>
      </c>
      <c r="F15" s="70" t="n">
        <v>0.320743681173103</v>
      </c>
      <c r="G15" s="42" t="n">
        <v>10750</v>
      </c>
      <c r="H15" s="43" t="n">
        <v>15000</v>
      </c>
      <c r="I15" s="70" t="n">
        <v>0.283333333333333</v>
      </c>
      <c r="J15" s="71" t="n">
        <v>321.99384800664</v>
      </c>
      <c r="K15" s="72" t="n">
        <v>322.285195252205</v>
      </c>
      <c r="L15" s="73" t="b">
        <f aca="false">TRUE()</f>
        <v>1</v>
      </c>
      <c r="M15" s="108" t="n">
        <v>1516</v>
      </c>
      <c r="N15" s="109" t="n">
        <v>554</v>
      </c>
      <c r="O15" s="109" t="n">
        <v>962</v>
      </c>
      <c r="P15" s="109" t="n">
        <v>401223</v>
      </c>
      <c r="Q15" s="109" t="n">
        <v>147860</v>
      </c>
      <c r="R15" s="110" t="n">
        <v>253363</v>
      </c>
    </row>
    <row r="16" customFormat="false" ht="15" hidden="false" customHeight="false" outlineLevel="0" collapsed="false">
      <c r="A16" s="23" t="s">
        <v>53</v>
      </c>
      <c r="B16" s="24" t="s">
        <v>120</v>
      </c>
      <c r="C16" s="24" t="s">
        <v>103</v>
      </c>
      <c r="D16" s="130" t="n">
        <v>10577.020863347</v>
      </c>
      <c r="E16" s="131" t="n">
        <v>13103.316853864</v>
      </c>
      <c r="F16" s="132" t="n">
        <v>0.192798206644298</v>
      </c>
      <c r="G16" s="130" t="n">
        <v>9890</v>
      </c>
      <c r="H16" s="43" t="n">
        <v>11610</v>
      </c>
      <c r="I16" s="132" t="n">
        <v>0.148148148148148</v>
      </c>
      <c r="J16" s="136" t="n">
        <v>322.241843938145</v>
      </c>
      <c r="K16" s="72" t="n">
        <v>322.543548771001</v>
      </c>
      <c r="L16" s="73" t="b">
        <f aca="false">TRUE()</f>
        <v>1</v>
      </c>
      <c r="M16" s="133" t="n">
        <v>3152</v>
      </c>
      <c r="N16" s="134" t="n">
        <v>840</v>
      </c>
      <c r="O16" s="134" t="n">
        <v>2312</v>
      </c>
      <c r="P16" s="134" t="n">
        <v>917373</v>
      </c>
      <c r="Q16" s="134" t="n">
        <v>229062</v>
      </c>
      <c r="R16" s="135" t="n">
        <v>688311</v>
      </c>
    </row>
    <row r="17" customFormat="false" ht="15" hidden="false" customHeight="false" outlineLevel="0" collapsed="false">
      <c r="A17" s="23" t="s">
        <v>53</v>
      </c>
      <c r="B17" s="24" t="s">
        <v>120</v>
      </c>
      <c r="C17" s="24" t="s">
        <v>104</v>
      </c>
      <c r="D17" s="130" t="n">
        <v>9871.67033995173</v>
      </c>
      <c r="E17" s="131" t="n">
        <v>13014.5900443145</v>
      </c>
      <c r="F17" s="132" t="n">
        <v>0.241492025001261</v>
      </c>
      <c r="G17" s="42" t="n">
        <v>8600</v>
      </c>
      <c r="H17" s="131" t="n">
        <v>12000</v>
      </c>
      <c r="I17" s="132" t="n">
        <v>0.283333333333333</v>
      </c>
      <c r="J17" s="136" t="n">
        <v>322.60432827953</v>
      </c>
      <c r="K17" s="137" t="n">
        <v>322.658436528384</v>
      </c>
      <c r="L17" s="73" t="b">
        <f aca="false">TRUE()</f>
        <v>1</v>
      </c>
      <c r="M17" s="133" t="n">
        <v>14231</v>
      </c>
      <c r="N17" s="134" t="n">
        <v>4137</v>
      </c>
      <c r="O17" s="134" t="n">
        <v>10094</v>
      </c>
      <c r="P17" s="134" t="n">
        <v>4038383</v>
      </c>
      <c r="Q17" s="134" t="n">
        <v>1152193</v>
      </c>
      <c r="R17" s="135" t="n">
        <v>2886190</v>
      </c>
    </row>
    <row r="18" customFormat="false" ht="15" hidden="false" customHeight="false" outlineLevel="0" collapsed="false">
      <c r="A18" s="29" t="s">
        <v>53</v>
      </c>
      <c r="B18" s="30" t="s">
        <v>120</v>
      </c>
      <c r="C18" s="30" t="s">
        <v>105</v>
      </c>
      <c r="D18" s="139" t="n">
        <v>8527.65813960885</v>
      </c>
      <c r="E18" s="140" t="n">
        <v>9126.66945924339</v>
      </c>
      <c r="F18" s="141" t="n">
        <v>0.0656330682632389</v>
      </c>
      <c r="G18" s="139" t="n">
        <v>8000</v>
      </c>
      <c r="H18" s="49" t="n">
        <v>8600</v>
      </c>
      <c r="I18" s="141" t="n">
        <v>0.0697674418604651</v>
      </c>
      <c r="J18" s="142" t="n">
        <v>322.640284758116</v>
      </c>
      <c r="K18" s="146" t="n">
        <v>322.654562347944</v>
      </c>
      <c r="L18" s="65" t="b">
        <f aca="false">TRUE()</f>
        <v>1</v>
      </c>
      <c r="M18" s="143" t="n">
        <v>14630</v>
      </c>
      <c r="N18" s="144" t="n">
        <v>6793</v>
      </c>
      <c r="O18" s="144" t="n">
        <v>7837</v>
      </c>
      <c r="P18" s="144" t="n">
        <v>4523452</v>
      </c>
      <c r="Q18" s="144" t="n">
        <v>1917973</v>
      </c>
      <c r="R18" s="145" t="n">
        <v>2605479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D1:F1"/>
    <mergeCell ref="G1:I1"/>
    <mergeCell ref="J1:L1"/>
    <mergeCell ref="M1:R1"/>
  </mergeCells>
  <hyperlinks>
    <hyperlink ref="T1" location="'Índice'!A1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2026-09-23T19:44:25Z</dcterms:created>
  <dc:creator>davidmotter</dc:creator>
  <dc:description/>
  <dc:language>en-US</dc:language>
  <cp:lastModifiedBy/>
  <dcterms:modified xsi:type="dcterms:W3CDTF">2026-09-29T17:47:00Z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